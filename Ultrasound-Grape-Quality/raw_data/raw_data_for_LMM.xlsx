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168d10ac412e10e3/Tài liệu/"/>
    </mc:Choice>
  </mc:AlternateContent>
  <xr:revisionPtr revIDLastSave="55" documentId="13_ncr:1_{18C72390-389A-4A7D-A4FA-1772D2F7FFA9}" xr6:coauthVersionLast="47" xr6:coauthVersionMax="47" xr10:uidLastSave="{ABF14D2E-501E-4178-BD99-2D7670ECBA26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xlnm._FilterDatabase" localSheetId="0" hidden="1">Data!$A$1:$M$961</definedName>
  </definedNames>
  <calcPr calcId="191029"/>
</workbook>
</file>

<file path=xl/calcChain.xml><?xml version="1.0" encoding="utf-8"?>
<calcChain xmlns="http://schemas.openxmlformats.org/spreadsheetml/2006/main">
  <c r="B33" i="1" l="1"/>
  <c r="M931" i="1"/>
  <c r="M871" i="1"/>
  <c r="M811" i="1"/>
  <c r="M751" i="1"/>
  <c r="M691" i="1"/>
  <c r="M631" i="1"/>
  <c r="M571" i="1"/>
  <c r="M511" i="1"/>
  <c r="M451" i="1"/>
  <c r="M391" i="1"/>
  <c r="M331" i="1"/>
  <c r="M271" i="1"/>
  <c r="M211" i="1"/>
  <c r="M151" i="1"/>
  <c r="M91" i="1"/>
  <c r="M31" i="1"/>
  <c r="M930" i="1"/>
  <c r="M870" i="1"/>
  <c r="M810" i="1"/>
  <c r="M750" i="1"/>
  <c r="M690" i="1"/>
  <c r="M630" i="1"/>
  <c r="M570" i="1"/>
  <c r="M510" i="1"/>
  <c r="M450" i="1"/>
  <c r="M390" i="1"/>
  <c r="M330" i="1"/>
  <c r="M270" i="1"/>
  <c r="M210" i="1"/>
  <c r="M150" i="1"/>
  <c r="M90" i="1"/>
  <c r="M30" i="1"/>
  <c r="M929" i="1"/>
  <c r="M869" i="1"/>
  <c r="M809" i="1"/>
  <c r="M749" i="1"/>
  <c r="M689" i="1"/>
  <c r="M629" i="1"/>
  <c r="M569" i="1"/>
  <c r="M509" i="1"/>
  <c r="M449" i="1"/>
  <c r="M389" i="1"/>
  <c r="M329" i="1"/>
  <c r="M269" i="1"/>
  <c r="M209" i="1"/>
  <c r="M149" i="1"/>
  <c r="M89" i="1"/>
  <c r="M29" i="1"/>
  <c r="M928" i="1"/>
  <c r="M868" i="1"/>
  <c r="M808" i="1"/>
  <c r="M748" i="1"/>
  <c r="M688" i="1"/>
  <c r="M628" i="1"/>
  <c r="M568" i="1"/>
  <c r="M508" i="1"/>
  <c r="M448" i="1"/>
  <c r="M388" i="1"/>
  <c r="M328" i="1"/>
  <c r="M268" i="1"/>
  <c r="M208" i="1"/>
  <c r="M148" i="1"/>
  <c r="M88" i="1"/>
  <c r="M28" i="1"/>
  <c r="M927" i="1"/>
  <c r="M867" i="1"/>
  <c r="M807" i="1"/>
  <c r="M747" i="1"/>
  <c r="M687" i="1"/>
  <c r="M627" i="1"/>
  <c r="M567" i="1"/>
  <c r="M507" i="1"/>
  <c r="M447" i="1"/>
  <c r="M387" i="1"/>
  <c r="M327" i="1"/>
  <c r="M267" i="1"/>
  <c r="M207" i="1"/>
  <c r="M147" i="1"/>
  <c r="M87" i="1"/>
  <c r="M27" i="1"/>
  <c r="M926" i="1"/>
  <c r="M866" i="1"/>
  <c r="M806" i="1"/>
  <c r="M746" i="1"/>
  <c r="M686" i="1"/>
  <c r="M626" i="1"/>
  <c r="M566" i="1"/>
  <c r="M506" i="1"/>
  <c r="M446" i="1"/>
  <c r="M386" i="1"/>
  <c r="M326" i="1"/>
  <c r="M266" i="1"/>
  <c r="M206" i="1"/>
  <c r="M146" i="1"/>
  <c r="M86" i="1"/>
  <c r="M26" i="1"/>
  <c r="M925" i="1"/>
  <c r="M865" i="1"/>
  <c r="M805" i="1"/>
  <c r="M745" i="1"/>
  <c r="M685" i="1"/>
  <c r="M625" i="1"/>
  <c r="M565" i="1"/>
  <c r="M505" i="1"/>
  <c r="M445" i="1"/>
  <c r="M385" i="1"/>
  <c r="M325" i="1"/>
  <c r="M265" i="1"/>
  <c r="M205" i="1"/>
  <c r="M145" i="1"/>
  <c r="M85" i="1"/>
  <c r="M25" i="1"/>
  <c r="M924" i="1"/>
  <c r="M864" i="1"/>
  <c r="M804" i="1"/>
  <c r="M744" i="1"/>
  <c r="M684" i="1"/>
  <c r="M624" i="1"/>
  <c r="M564" i="1"/>
  <c r="M504" i="1"/>
  <c r="M444" i="1"/>
  <c r="M384" i="1"/>
  <c r="M324" i="1"/>
  <c r="M264" i="1"/>
  <c r="M204" i="1"/>
  <c r="M144" i="1"/>
  <c r="M84" i="1"/>
  <c r="M24" i="1"/>
  <c r="M923" i="1"/>
  <c r="M863" i="1"/>
  <c r="M803" i="1"/>
  <c r="M743" i="1"/>
  <c r="M683" i="1"/>
  <c r="M623" i="1"/>
  <c r="M563" i="1"/>
  <c r="M503" i="1"/>
  <c r="M443" i="1"/>
  <c r="M383" i="1"/>
  <c r="M323" i="1"/>
  <c r="M263" i="1"/>
  <c r="M203" i="1"/>
  <c r="M143" i="1"/>
  <c r="M83" i="1"/>
  <c r="M23" i="1"/>
  <c r="M922" i="1"/>
  <c r="M862" i="1"/>
  <c r="M802" i="1"/>
  <c r="M742" i="1"/>
  <c r="M682" i="1"/>
  <c r="M622" i="1"/>
  <c r="M562" i="1"/>
  <c r="M502" i="1"/>
  <c r="M442" i="1"/>
  <c r="M382" i="1"/>
  <c r="M322" i="1"/>
  <c r="M262" i="1"/>
  <c r="M202" i="1"/>
  <c r="M142" i="1"/>
  <c r="M82" i="1"/>
  <c r="M22" i="1"/>
  <c r="M921" i="1"/>
  <c r="M861" i="1"/>
  <c r="M801" i="1"/>
  <c r="M741" i="1"/>
  <c r="M681" i="1"/>
  <c r="M621" i="1"/>
  <c r="M561" i="1"/>
  <c r="M501" i="1"/>
  <c r="M441" i="1"/>
  <c r="M381" i="1"/>
  <c r="M321" i="1"/>
  <c r="M261" i="1"/>
  <c r="M201" i="1"/>
  <c r="M141" i="1"/>
  <c r="M81" i="1"/>
  <c r="M21" i="1"/>
  <c r="M920" i="1"/>
  <c r="M860" i="1"/>
  <c r="M800" i="1"/>
  <c r="M740" i="1"/>
  <c r="M680" i="1"/>
  <c r="M620" i="1"/>
  <c r="M560" i="1"/>
  <c r="M500" i="1"/>
  <c r="M440" i="1"/>
  <c r="M380" i="1"/>
  <c r="M320" i="1"/>
  <c r="M260" i="1"/>
  <c r="M200" i="1"/>
  <c r="M140" i="1"/>
  <c r="M80" i="1"/>
  <c r="M20" i="1"/>
  <c r="M919" i="1"/>
  <c r="M859" i="1"/>
  <c r="M799" i="1"/>
  <c r="M739" i="1"/>
  <c r="M679" i="1"/>
  <c r="M619" i="1"/>
  <c r="M559" i="1"/>
  <c r="M499" i="1"/>
  <c r="M439" i="1"/>
  <c r="M379" i="1"/>
  <c r="M319" i="1"/>
  <c r="M259" i="1"/>
  <c r="M199" i="1"/>
  <c r="M139" i="1"/>
  <c r="M79" i="1"/>
  <c r="M19" i="1"/>
  <c r="M918" i="1"/>
  <c r="M858" i="1"/>
  <c r="M798" i="1"/>
  <c r="M738" i="1"/>
  <c r="M678" i="1"/>
  <c r="M618" i="1"/>
  <c r="M558" i="1"/>
  <c r="M498" i="1"/>
  <c r="M438" i="1"/>
  <c r="M378" i="1"/>
  <c r="M318" i="1"/>
  <c r="M258" i="1"/>
  <c r="M198" i="1"/>
  <c r="M138" i="1"/>
  <c r="M78" i="1"/>
  <c r="M18" i="1"/>
  <c r="M917" i="1"/>
  <c r="M857" i="1"/>
  <c r="M797" i="1"/>
  <c r="M737" i="1"/>
  <c r="M677" i="1"/>
  <c r="M617" i="1"/>
  <c r="M557" i="1"/>
  <c r="M497" i="1"/>
  <c r="M437" i="1"/>
  <c r="M377" i="1"/>
  <c r="M317" i="1"/>
  <c r="M257" i="1"/>
  <c r="M197" i="1"/>
  <c r="M137" i="1"/>
  <c r="M77" i="1"/>
  <c r="M17" i="1"/>
  <c r="M916" i="1"/>
  <c r="M856" i="1"/>
  <c r="M796" i="1"/>
  <c r="M736" i="1"/>
  <c r="M676" i="1"/>
  <c r="M616" i="1"/>
  <c r="M556" i="1"/>
  <c r="M496" i="1"/>
  <c r="M436" i="1"/>
  <c r="M376" i="1"/>
  <c r="M316" i="1"/>
  <c r="M256" i="1"/>
  <c r="M196" i="1"/>
  <c r="M136" i="1"/>
  <c r="M76" i="1"/>
  <c r="M16" i="1"/>
  <c r="M915" i="1"/>
  <c r="M855" i="1"/>
  <c r="M795" i="1"/>
  <c r="M735" i="1"/>
  <c r="M675" i="1"/>
  <c r="M615" i="1"/>
  <c r="M555" i="1"/>
  <c r="M495" i="1"/>
  <c r="M435" i="1"/>
  <c r="M375" i="1"/>
  <c r="M315" i="1"/>
  <c r="M255" i="1"/>
  <c r="M195" i="1"/>
  <c r="M135" i="1"/>
  <c r="M75" i="1"/>
  <c r="M15" i="1"/>
  <c r="M914" i="1"/>
  <c r="M854" i="1"/>
  <c r="M794" i="1"/>
  <c r="M734" i="1"/>
  <c r="M674" i="1"/>
  <c r="M614" i="1"/>
  <c r="M554" i="1"/>
  <c r="M494" i="1"/>
  <c r="M434" i="1"/>
  <c r="M374" i="1"/>
  <c r="M314" i="1"/>
  <c r="M254" i="1"/>
  <c r="M194" i="1"/>
  <c r="M134" i="1"/>
  <c r="M74" i="1"/>
  <c r="M14" i="1"/>
  <c r="M913" i="1"/>
  <c r="M853" i="1"/>
  <c r="M793" i="1"/>
  <c r="M733" i="1"/>
  <c r="M673" i="1"/>
  <c r="M613" i="1"/>
  <c r="M553" i="1"/>
  <c r="M493" i="1"/>
  <c r="M433" i="1"/>
  <c r="M373" i="1"/>
  <c r="M313" i="1"/>
  <c r="M253" i="1"/>
  <c r="M193" i="1"/>
  <c r="M133" i="1"/>
  <c r="M73" i="1"/>
  <c r="M13" i="1"/>
  <c r="M912" i="1"/>
  <c r="M852" i="1"/>
  <c r="M792" i="1"/>
  <c r="M732" i="1"/>
  <c r="M672" i="1"/>
  <c r="M612" i="1"/>
  <c r="M552" i="1"/>
  <c r="M492" i="1"/>
  <c r="M432" i="1"/>
  <c r="M372" i="1"/>
  <c r="M312" i="1"/>
  <c r="M252" i="1"/>
  <c r="M192" i="1"/>
  <c r="M132" i="1"/>
  <c r="M72" i="1"/>
  <c r="M12" i="1"/>
  <c r="M911" i="1"/>
  <c r="M851" i="1"/>
  <c r="M791" i="1"/>
  <c r="M731" i="1"/>
  <c r="M671" i="1"/>
  <c r="M611" i="1"/>
  <c r="M551" i="1"/>
  <c r="M491" i="1"/>
  <c r="M431" i="1"/>
  <c r="M371" i="1"/>
  <c r="M311" i="1"/>
  <c r="M251" i="1"/>
  <c r="M191" i="1"/>
  <c r="M131" i="1"/>
  <c r="M71" i="1"/>
  <c r="M11" i="1"/>
  <c r="M910" i="1"/>
  <c r="M850" i="1"/>
  <c r="M790" i="1"/>
  <c r="M730" i="1"/>
  <c r="M670" i="1"/>
  <c r="M610" i="1"/>
  <c r="M550" i="1"/>
  <c r="M490" i="1"/>
  <c r="M430" i="1"/>
  <c r="M370" i="1"/>
  <c r="M310" i="1"/>
  <c r="M250" i="1"/>
  <c r="M190" i="1"/>
  <c r="M130" i="1"/>
  <c r="M70" i="1"/>
  <c r="M10" i="1"/>
  <c r="M909" i="1"/>
  <c r="M849" i="1"/>
  <c r="M789" i="1"/>
  <c r="M729" i="1"/>
  <c r="M669" i="1"/>
  <c r="M609" i="1"/>
  <c r="M549" i="1"/>
  <c r="M489" i="1"/>
  <c r="M429" i="1"/>
  <c r="M369" i="1"/>
  <c r="M309" i="1"/>
  <c r="M249" i="1"/>
  <c r="M189" i="1"/>
  <c r="M129" i="1"/>
  <c r="M69" i="1"/>
  <c r="M9" i="1"/>
  <c r="M908" i="1"/>
  <c r="M848" i="1"/>
  <c r="M788" i="1"/>
  <c r="M728" i="1"/>
  <c r="M668" i="1"/>
  <c r="M608" i="1"/>
  <c r="M548" i="1"/>
  <c r="M488" i="1"/>
  <c r="M428" i="1"/>
  <c r="M368" i="1"/>
  <c r="M308" i="1"/>
  <c r="M248" i="1"/>
  <c r="M188" i="1"/>
  <c r="M128" i="1"/>
  <c r="M68" i="1"/>
  <c r="M8" i="1"/>
  <c r="M907" i="1"/>
  <c r="M847" i="1"/>
  <c r="M787" i="1"/>
  <c r="M727" i="1"/>
  <c r="M667" i="1"/>
  <c r="M607" i="1"/>
  <c r="M547" i="1"/>
  <c r="M487" i="1"/>
  <c r="M427" i="1"/>
  <c r="M367" i="1"/>
  <c r="M307" i="1"/>
  <c r="M247" i="1"/>
  <c r="M187" i="1"/>
  <c r="M127" i="1"/>
  <c r="M67" i="1"/>
  <c r="M7" i="1"/>
  <c r="M906" i="1"/>
  <c r="M846" i="1"/>
  <c r="M786" i="1"/>
  <c r="M726" i="1"/>
  <c r="M666" i="1"/>
  <c r="M606" i="1"/>
  <c r="M546" i="1"/>
  <c r="M486" i="1"/>
  <c r="M426" i="1"/>
  <c r="M366" i="1"/>
  <c r="M306" i="1"/>
  <c r="M246" i="1"/>
  <c r="M186" i="1"/>
  <c r="M126" i="1"/>
  <c r="M66" i="1"/>
  <c r="M6" i="1"/>
  <c r="M905" i="1"/>
  <c r="M845" i="1"/>
  <c r="M785" i="1"/>
  <c r="M725" i="1"/>
  <c r="M665" i="1"/>
  <c r="M605" i="1"/>
  <c r="M545" i="1"/>
  <c r="M485" i="1"/>
  <c r="M425" i="1"/>
  <c r="M365" i="1"/>
  <c r="M305" i="1"/>
  <c r="M245" i="1"/>
  <c r="M185" i="1"/>
  <c r="M125" i="1"/>
  <c r="M65" i="1"/>
  <c r="M5" i="1"/>
  <c r="M904" i="1"/>
  <c r="M844" i="1"/>
  <c r="M784" i="1"/>
  <c r="M724" i="1"/>
  <c r="M664" i="1"/>
  <c r="M604" i="1"/>
  <c r="M544" i="1"/>
  <c r="M484" i="1"/>
  <c r="M424" i="1"/>
  <c r="M364" i="1"/>
  <c r="M304" i="1"/>
  <c r="M244" i="1"/>
  <c r="M184" i="1"/>
  <c r="M124" i="1"/>
  <c r="M64" i="1"/>
  <c r="M4" i="1"/>
  <c r="M903" i="1"/>
  <c r="M843" i="1"/>
  <c r="M783" i="1"/>
  <c r="M723" i="1"/>
  <c r="M663" i="1"/>
  <c r="M603" i="1"/>
  <c r="M543" i="1"/>
  <c r="M483" i="1"/>
  <c r="M423" i="1"/>
  <c r="M363" i="1"/>
  <c r="M303" i="1"/>
  <c r="M243" i="1"/>
  <c r="M183" i="1"/>
  <c r="M123" i="1"/>
  <c r="M63" i="1"/>
  <c r="M3" i="1"/>
  <c r="M902" i="1"/>
  <c r="M842" i="1"/>
  <c r="M782" i="1"/>
  <c r="M722" i="1"/>
  <c r="M662" i="1"/>
  <c r="M602" i="1"/>
  <c r="M542" i="1"/>
  <c r="M482" i="1"/>
  <c r="M422" i="1"/>
  <c r="M362" i="1"/>
  <c r="M302" i="1"/>
  <c r="M242" i="1"/>
  <c r="M182" i="1"/>
  <c r="M122" i="1"/>
  <c r="M62" i="1"/>
  <c r="M2" i="1"/>
  <c r="M961" i="1"/>
  <c r="M901" i="1"/>
  <c r="M841" i="1"/>
  <c r="M781" i="1"/>
  <c r="M721" i="1"/>
  <c r="M661" i="1"/>
  <c r="M601" i="1"/>
  <c r="M541" i="1"/>
  <c r="M481" i="1"/>
  <c r="M421" i="1"/>
  <c r="M361" i="1"/>
  <c r="M301" i="1"/>
  <c r="M241" i="1"/>
  <c r="M181" i="1"/>
  <c r="M121" i="1"/>
  <c r="M61" i="1"/>
  <c r="M960" i="1"/>
  <c r="M900" i="1"/>
  <c r="M840" i="1"/>
  <c r="M780" i="1"/>
  <c r="M720" i="1"/>
  <c r="M660" i="1"/>
  <c r="M600" i="1"/>
  <c r="M540" i="1"/>
  <c r="M480" i="1"/>
  <c r="M420" i="1"/>
  <c r="M360" i="1"/>
  <c r="M300" i="1"/>
  <c r="M240" i="1"/>
  <c r="M180" i="1"/>
  <c r="M120" i="1"/>
  <c r="M60" i="1"/>
  <c r="M959" i="1"/>
  <c r="M899" i="1"/>
  <c r="M839" i="1"/>
  <c r="M779" i="1"/>
  <c r="M719" i="1"/>
  <c r="M659" i="1"/>
  <c r="M599" i="1"/>
  <c r="M539" i="1"/>
  <c r="M479" i="1"/>
  <c r="M419" i="1"/>
  <c r="M359" i="1"/>
  <c r="M299" i="1"/>
  <c r="M239" i="1"/>
  <c r="M179" i="1"/>
  <c r="M119" i="1"/>
  <c r="M59" i="1"/>
  <c r="M958" i="1"/>
  <c r="M898" i="1"/>
  <c r="M838" i="1"/>
  <c r="M778" i="1"/>
  <c r="M718" i="1"/>
  <c r="M658" i="1"/>
  <c r="M598" i="1"/>
  <c r="M538" i="1"/>
  <c r="M478" i="1"/>
  <c r="M418" i="1"/>
  <c r="M358" i="1"/>
  <c r="M298" i="1"/>
  <c r="M238" i="1"/>
  <c r="M178" i="1"/>
  <c r="M118" i="1"/>
  <c r="M58" i="1"/>
  <c r="M957" i="1"/>
  <c r="M897" i="1"/>
  <c r="M837" i="1"/>
  <c r="M777" i="1"/>
  <c r="M717" i="1"/>
  <c r="M657" i="1"/>
  <c r="M597" i="1"/>
  <c r="M537" i="1"/>
  <c r="M477" i="1"/>
  <c r="M417" i="1"/>
  <c r="M357" i="1"/>
  <c r="M297" i="1"/>
  <c r="M237" i="1"/>
  <c r="M177" i="1"/>
  <c r="M117" i="1"/>
  <c r="M57" i="1"/>
  <c r="M956" i="1"/>
  <c r="M896" i="1"/>
  <c r="M836" i="1"/>
  <c r="M776" i="1"/>
  <c r="M716" i="1"/>
  <c r="M656" i="1"/>
  <c r="M596" i="1"/>
  <c r="M536" i="1"/>
  <c r="M476" i="1"/>
  <c r="M416" i="1"/>
  <c r="M356" i="1"/>
  <c r="M296" i="1"/>
  <c r="M236" i="1"/>
  <c r="M176" i="1"/>
  <c r="M116" i="1"/>
  <c r="M56" i="1"/>
  <c r="M955" i="1"/>
  <c r="M895" i="1"/>
  <c r="M835" i="1"/>
  <c r="M775" i="1"/>
  <c r="M715" i="1"/>
  <c r="M655" i="1"/>
  <c r="M595" i="1"/>
  <c r="M535" i="1"/>
  <c r="M475" i="1"/>
  <c r="M415" i="1"/>
  <c r="M355" i="1"/>
  <c r="M295" i="1"/>
  <c r="M235" i="1"/>
  <c r="M175" i="1"/>
  <c r="M115" i="1"/>
  <c r="M55" i="1"/>
  <c r="M954" i="1"/>
  <c r="M894" i="1"/>
  <c r="M834" i="1"/>
  <c r="M774" i="1"/>
  <c r="M714" i="1"/>
  <c r="M654" i="1"/>
  <c r="M594" i="1"/>
  <c r="M534" i="1"/>
  <c r="M474" i="1"/>
  <c r="M414" i="1"/>
  <c r="M354" i="1"/>
  <c r="M294" i="1"/>
  <c r="M234" i="1"/>
  <c r="M174" i="1"/>
  <c r="M114" i="1"/>
  <c r="M54" i="1"/>
  <c r="M953" i="1"/>
  <c r="M893" i="1"/>
  <c r="M833" i="1"/>
  <c r="M773" i="1"/>
  <c r="M713" i="1"/>
  <c r="M653" i="1"/>
  <c r="M593" i="1"/>
  <c r="M533" i="1"/>
  <c r="M473" i="1"/>
  <c r="M413" i="1"/>
  <c r="M353" i="1"/>
  <c r="M293" i="1"/>
  <c r="M233" i="1"/>
  <c r="M173" i="1"/>
  <c r="M113" i="1"/>
  <c r="M53" i="1"/>
  <c r="M952" i="1"/>
  <c r="M892" i="1"/>
  <c r="M832" i="1"/>
  <c r="M772" i="1"/>
  <c r="M712" i="1"/>
  <c r="M652" i="1"/>
  <c r="M592" i="1"/>
  <c r="M532" i="1"/>
  <c r="M472" i="1"/>
  <c r="M412" i="1"/>
  <c r="M352" i="1"/>
  <c r="M292" i="1"/>
  <c r="M232" i="1"/>
  <c r="M172" i="1"/>
  <c r="M112" i="1"/>
  <c r="M52" i="1"/>
  <c r="M951" i="1"/>
  <c r="M891" i="1"/>
  <c r="M831" i="1"/>
  <c r="M771" i="1"/>
  <c r="M711" i="1"/>
  <c r="M651" i="1"/>
  <c r="M591" i="1"/>
  <c r="M531" i="1"/>
  <c r="M471" i="1"/>
  <c r="M411" i="1"/>
  <c r="M351" i="1"/>
  <c r="M291" i="1"/>
  <c r="M231" i="1"/>
  <c r="M171" i="1"/>
  <c r="M111" i="1"/>
  <c r="M51" i="1"/>
  <c r="M950" i="1"/>
  <c r="M890" i="1"/>
  <c r="M830" i="1"/>
  <c r="M770" i="1"/>
  <c r="M710" i="1"/>
  <c r="M650" i="1"/>
  <c r="M590" i="1"/>
  <c r="M530" i="1"/>
  <c r="M470" i="1"/>
  <c r="M410" i="1"/>
  <c r="M350" i="1"/>
  <c r="M290" i="1"/>
  <c r="M230" i="1"/>
  <c r="M170" i="1"/>
  <c r="M110" i="1"/>
  <c r="M50" i="1"/>
  <c r="M949" i="1"/>
  <c r="M889" i="1"/>
  <c r="M829" i="1"/>
  <c r="M769" i="1"/>
  <c r="M709" i="1"/>
  <c r="M649" i="1"/>
  <c r="M589" i="1"/>
  <c r="M529" i="1"/>
  <c r="M469" i="1"/>
  <c r="M409" i="1"/>
  <c r="M349" i="1"/>
  <c r="M289" i="1"/>
  <c r="M229" i="1"/>
  <c r="M169" i="1"/>
  <c r="M109" i="1"/>
  <c r="M49" i="1"/>
  <c r="M948" i="1"/>
  <c r="M888" i="1"/>
  <c r="M828" i="1"/>
  <c r="M768" i="1"/>
  <c r="M708" i="1"/>
  <c r="M648" i="1"/>
  <c r="M588" i="1"/>
  <c r="M528" i="1"/>
  <c r="M468" i="1"/>
  <c r="M408" i="1"/>
  <c r="M348" i="1"/>
  <c r="M288" i="1"/>
  <c r="M228" i="1"/>
  <c r="M168" i="1"/>
  <c r="M108" i="1"/>
  <c r="M48" i="1"/>
  <c r="M947" i="1"/>
  <c r="M887" i="1"/>
  <c r="M827" i="1"/>
  <c r="M767" i="1"/>
  <c r="M707" i="1"/>
  <c r="M647" i="1"/>
  <c r="M587" i="1"/>
  <c r="M527" i="1"/>
  <c r="M467" i="1"/>
  <c r="M407" i="1"/>
  <c r="M347" i="1"/>
  <c r="M287" i="1"/>
  <c r="M227" i="1"/>
  <c r="M167" i="1"/>
  <c r="M107" i="1"/>
  <c r="M47" i="1"/>
  <c r="M946" i="1"/>
  <c r="M886" i="1"/>
  <c r="M826" i="1"/>
  <c r="M766" i="1"/>
  <c r="M706" i="1"/>
  <c r="M646" i="1"/>
  <c r="M586" i="1"/>
  <c r="M526" i="1"/>
  <c r="M466" i="1"/>
  <c r="M406" i="1"/>
  <c r="M346" i="1"/>
  <c r="M286" i="1"/>
  <c r="M226" i="1"/>
  <c r="M166" i="1"/>
  <c r="M106" i="1"/>
  <c r="M46" i="1"/>
  <c r="M945" i="1"/>
  <c r="M885" i="1"/>
  <c r="M825" i="1"/>
  <c r="M765" i="1"/>
  <c r="M705" i="1"/>
  <c r="M645" i="1"/>
  <c r="M585" i="1"/>
  <c r="M525" i="1"/>
  <c r="M465" i="1"/>
  <c r="M405" i="1"/>
  <c r="M345" i="1"/>
  <c r="M285" i="1"/>
  <c r="M225" i="1"/>
  <c r="M165" i="1"/>
  <c r="M105" i="1"/>
  <c r="M45" i="1"/>
  <c r="M944" i="1"/>
  <c r="M884" i="1"/>
  <c r="M824" i="1"/>
  <c r="M764" i="1"/>
  <c r="M704" i="1"/>
  <c r="M644" i="1"/>
  <c r="M584" i="1"/>
  <c r="M524" i="1"/>
  <c r="M464" i="1"/>
  <c r="M404" i="1"/>
  <c r="M344" i="1"/>
  <c r="M284" i="1"/>
  <c r="M224" i="1"/>
  <c r="M164" i="1"/>
  <c r="M104" i="1"/>
  <c r="M44" i="1"/>
  <c r="M943" i="1"/>
  <c r="M883" i="1"/>
  <c r="M823" i="1"/>
  <c r="M763" i="1"/>
  <c r="M703" i="1"/>
  <c r="M643" i="1"/>
  <c r="M583" i="1"/>
  <c r="M523" i="1"/>
  <c r="M463" i="1"/>
  <c r="M403" i="1"/>
  <c r="M343" i="1"/>
  <c r="M283" i="1"/>
  <c r="M223" i="1"/>
  <c r="M163" i="1"/>
  <c r="M103" i="1"/>
  <c r="M43" i="1"/>
  <c r="M942" i="1"/>
  <c r="M882" i="1"/>
  <c r="M822" i="1"/>
  <c r="M762" i="1"/>
  <c r="M702" i="1"/>
  <c r="M642" i="1"/>
  <c r="M582" i="1"/>
  <c r="M522" i="1"/>
  <c r="M462" i="1"/>
  <c r="M402" i="1"/>
  <c r="M342" i="1"/>
  <c r="M282" i="1"/>
  <c r="M222" i="1"/>
  <c r="M162" i="1"/>
  <c r="M102" i="1"/>
  <c r="M42" i="1"/>
  <c r="M941" i="1"/>
  <c r="M881" i="1"/>
  <c r="M821" i="1"/>
  <c r="M761" i="1"/>
  <c r="M701" i="1"/>
  <c r="M641" i="1"/>
  <c r="M581" i="1"/>
  <c r="M521" i="1"/>
  <c r="M461" i="1"/>
  <c r="M401" i="1"/>
  <c r="M341" i="1"/>
  <c r="M281" i="1"/>
  <c r="M221" i="1"/>
  <c r="M161" i="1"/>
  <c r="M101" i="1"/>
  <c r="M41" i="1"/>
  <c r="M940" i="1"/>
  <c r="M880" i="1"/>
  <c r="M820" i="1"/>
  <c r="M760" i="1"/>
  <c r="M700" i="1"/>
  <c r="M640" i="1"/>
  <c r="M580" i="1"/>
  <c r="M520" i="1"/>
  <c r="M460" i="1"/>
  <c r="M400" i="1"/>
  <c r="M340" i="1"/>
  <c r="M280" i="1"/>
  <c r="M220" i="1"/>
  <c r="M160" i="1"/>
  <c r="M100" i="1"/>
  <c r="M40" i="1"/>
  <c r="M939" i="1"/>
  <c r="M879" i="1"/>
  <c r="M819" i="1"/>
  <c r="M759" i="1"/>
  <c r="M699" i="1"/>
  <c r="M639" i="1"/>
  <c r="M579" i="1"/>
  <c r="M519" i="1"/>
  <c r="M459" i="1"/>
  <c r="M399" i="1"/>
  <c r="M339" i="1"/>
  <c r="M279" i="1"/>
  <c r="M219" i="1"/>
  <c r="M159" i="1"/>
  <c r="M99" i="1"/>
  <c r="M39" i="1"/>
  <c r="M938" i="1"/>
  <c r="M878" i="1"/>
  <c r="M818" i="1"/>
  <c r="M758" i="1"/>
  <c r="M698" i="1"/>
  <c r="M638" i="1"/>
  <c r="M578" i="1"/>
  <c r="M518" i="1"/>
  <c r="M458" i="1"/>
  <c r="M398" i="1"/>
  <c r="M338" i="1"/>
  <c r="M278" i="1"/>
  <c r="M218" i="1"/>
  <c r="M158" i="1"/>
  <c r="M98" i="1"/>
  <c r="M38" i="1"/>
  <c r="M937" i="1"/>
  <c r="M877" i="1"/>
  <c r="M817" i="1"/>
  <c r="M757" i="1"/>
  <c r="M697" i="1"/>
  <c r="M637" i="1"/>
  <c r="M577" i="1"/>
  <c r="M517" i="1"/>
  <c r="M457" i="1"/>
  <c r="M397" i="1"/>
  <c r="M337" i="1"/>
  <c r="M277" i="1"/>
  <c r="M217" i="1"/>
  <c r="M157" i="1"/>
  <c r="M97" i="1"/>
  <c r="M37" i="1"/>
  <c r="M936" i="1"/>
  <c r="M876" i="1"/>
  <c r="M816" i="1"/>
  <c r="M756" i="1"/>
  <c r="M696" i="1"/>
  <c r="M636" i="1"/>
  <c r="M576" i="1"/>
  <c r="M516" i="1"/>
  <c r="M456" i="1"/>
  <c r="M396" i="1"/>
  <c r="M336" i="1"/>
  <c r="M276" i="1"/>
  <c r="M216" i="1"/>
  <c r="M156" i="1"/>
  <c r="M96" i="1"/>
  <c r="M36" i="1"/>
  <c r="M935" i="1"/>
  <c r="M875" i="1"/>
  <c r="M815" i="1"/>
  <c r="M755" i="1"/>
  <c r="M695" i="1"/>
  <c r="M635" i="1"/>
  <c r="M575" i="1"/>
  <c r="M515" i="1"/>
  <c r="M455" i="1"/>
  <c r="M395" i="1"/>
  <c r="M335" i="1"/>
  <c r="M275" i="1"/>
  <c r="M215" i="1"/>
  <c r="M155" i="1"/>
  <c r="M95" i="1"/>
  <c r="M35" i="1"/>
  <c r="M934" i="1"/>
  <c r="M874" i="1"/>
  <c r="M814" i="1"/>
  <c r="M754" i="1"/>
  <c r="M694" i="1"/>
  <c r="M634" i="1"/>
  <c r="M574" i="1"/>
  <c r="M514" i="1"/>
  <c r="M454" i="1"/>
  <c r="M394" i="1"/>
  <c r="M334" i="1"/>
  <c r="M274" i="1"/>
  <c r="M214" i="1"/>
  <c r="M154" i="1"/>
  <c r="M94" i="1"/>
  <c r="M34" i="1"/>
  <c r="M933" i="1"/>
  <c r="M873" i="1"/>
  <c r="M813" i="1"/>
  <c r="M753" i="1"/>
  <c r="M693" i="1"/>
  <c r="M633" i="1"/>
  <c r="M573" i="1"/>
  <c r="M513" i="1"/>
  <c r="M453" i="1"/>
  <c r="M393" i="1"/>
  <c r="M333" i="1"/>
  <c r="M273" i="1"/>
  <c r="M213" i="1"/>
  <c r="M153" i="1"/>
  <c r="M93" i="1"/>
  <c r="M33" i="1"/>
  <c r="M932" i="1"/>
  <c r="M872" i="1"/>
  <c r="M812" i="1"/>
  <c r="M752" i="1"/>
  <c r="M692" i="1"/>
  <c r="M632" i="1"/>
  <c r="M572" i="1"/>
  <c r="M512" i="1"/>
  <c r="M452" i="1"/>
  <c r="M392" i="1"/>
  <c r="M332" i="1"/>
  <c r="M272" i="1"/>
  <c r="M212" i="1"/>
  <c r="M152" i="1"/>
  <c r="M92" i="1"/>
  <c r="M32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62" i="1"/>
  <c r="K63" i="1"/>
  <c r="K64" i="1"/>
  <c r="K65" i="1"/>
  <c r="K66" i="1"/>
  <c r="K67" i="1"/>
  <c r="K68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62" i="1"/>
  <c r="J63" i="1"/>
  <c r="J64" i="1"/>
  <c r="J65" i="1"/>
  <c r="J66" i="1"/>
  <c r="J67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66" i="1"/>
  <c r="I67" i="1"/>
  <c r="I68" i="1"/>
  <c r="I69" i="1"/>
  <c r="I70" i="1"/>
  <c r="I71" i="1"/>
  <c r="I72" i="1"/>
  <c r="I73" i="1"/>
  <c r="I74" i="1"/>
  <c r="I75" i="1"/>
  <c r="I65" i="1"/>
  <c r="I64" i="1"/>
  <c r="I63" i="1"/>
  <c r="I62" i="1"/>
  <c r="C961" i="1"/>
  <c r="B961" i="1" s="1"/>
  <c r="C960" i="1"/>
  <c r="B960" i="1" s="1"/>
  <c r="C959" i="1"/>
  <c r="B959" i="1" s="1"/>
  <c r="C958" i="1"/>
  <c r="B958" i="1" s="1"/>
  <c r="C957" i="1"/>
  <c r="B957" i="1" s="1"/>
  <c r="C956" i="1"/>
  <c r="B956" i="1" s="1"/>
  <c r="C955" i="1"/>
  <c r="B955" i="1" s="1"/>
  <c r="C954" i="1"/>
  <c r="B954" i="1" s="1"/>
  <c r="C953" i="1"/>
  <c r="B953" i="1" s="1"/>
  <c r="C952" i="1"/>
  <c r="B952" i="1" s="1"/>
  <c r="C951" i="1"/>
  <c r="B951" i="1" s="1"/>
  <c r="C950" i="1"/>
  <c r="B950" i="1" s="1"/>
  <c r="C949" i="1"/>
  <c r="B949" i="1" s="1"/>
  <c r="C948" i="1"/>
  <c r="B948" i="1" s="1"/>
  <c r="C947" i="1"/>
  <c r="B947" i="1" s="1"/>
  <c r="C946" i="1"/>
  <c r="B946" i="1" s="1"/>
  <c r="C945" i="1"/>
  <c r="B945" i="1" s="1"/>
  <c r="C944" i="1"/>
  <c r="B944" i="1" s="1"/>
  <c r="C943" i="1"/>
  <c r="B943" i="1" s="1"/>
  <c r="C942" i="1"/>
  <c r="B942" i="1" s="1"/>
  <c r="C941" i="1"/>
  <c r="B941" i="1" s="1"/>
  <c r="C940" i="1"/>
  <c r="B940" i="1" s="1"/>
  <c r="C939" i="1"/>
  <c r="B939" i="1" s="1"/>
  <c r="C938" i="1"/>
  <c r="B938" i="1" s="1"/>
  <c r="C937" i="1"/>
  <c r="B937" i="1" s="1"/>
  <c r="C936" i="1"/>
  <c r="B936" i="1" s="1"/>
  <c r="C935" i="1"/>
  <c r="B935" i="1" s="1"/>
  <c r="C934" i="1"/>
  <c r="B934" i="1" s="1"/>
  <c r="C933" i="1"/>
  <c r="B933" i="1" s="1"/>
  <c r="C932" i="1"/>
  <c r="B932" i="1" s="1"/>
  <c r="C931" i="1"/>
  <c r="B931" i="1" s="1"/>
  <c r="C930" i="1"/>
  <c r="B930" i="1" s="1"/>
  <c r="C929" i="1"/>
  <c r="B929" i="1" s="1"/>
  <c r="C928" i="1"/>
  <c r="B928" i="1" s="1"/>
  <c r="C927" i="1"/>
  <c r="B927" i="1" s="1"/>
  <c r="C926" i="1"/>
  <c r="B926" i="1" s="1"/>
  <c r="C925" i="1"/>
  <c r="B925" i="1" s="1"/>
  <c r="C924" i="1"/>
  <c r="B924" i="1" s="1"/>
  <c r="C923" i="1"/>
  <c r="B923" i="1" s="1"/>
  <c r="C922" i="1"/>
  <c r="B922" i="1" s="1"/>
  <c r="C921" i="1"/>
  <c r="B921" i="1" s="1"/>
  <c r="C920" i="1"/>
  <c r="B920" i="1" s="1"/>
  <c r="C919" i="1"/>
  <c r="B919" i="1" s="1"/>
  <c r="C918" i="1"/>
  <c r="B918" i="1" s="1"/>
  <c r="C917" i="1"/>
  <c r="B917" i="1" s="1"/>
  <c r="C916" i="1"/>
  <c r="B916" i="1" s="1"/>
  <c r="C915" i="1"/>
  <c r="B915" i="1" s="1"/>
  <c r="C914" i="1"/>
  <c r="B914" i="1" s="1"/>
  <c r="C913" i="1"/>
  <c r="B913" i="1" s="1"/>
  <c r="C912" i="1"/>
  <c r="B912" i="1" s="1"/>
  <c r="C911" i="1"/>
  <c r="B911" i="1" s="1"/>
  <c r="C910" i="1"/>
  <c r="B910" i="1" s="1"/>
  <c r="C909" i="1"/>
  <c r="B909" i="1" s="1"/>
  <c r="C908" i="1"/>
  <c r="B908" i="1" s="1"/>
  <c r="C907" i="1"/>
  <c r="B907" i="1" s="1"/>
  <c r="C906" i="1"/>
  <c r="B906" i="1" s="1"/>
  <c r="C905" i="1"/>
  <c r="B905" i="1" s="1"/>
  <c r="C904" i="1"/>
  <c r="B904" i="1" s="1"/>
  <c r="C903" i="1"/>
  <c r="B903" i="1" s="1"/>
  <c r="C902" i="1"/>
  <c r="B90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C123" i="1"/>
  <c r="B123" i="1" s="1"/>
  <c r="C124" i="1"/>
  <c r="B124" i="1" s="1"/>
  <c r="C125" i="1"/>
  <c r="B125" i="1" s="1"/>
  <c r="C126" i="1"/>
  <c r="B126" i="1" s="1"/>
  <c r="C127" i="1"/>
  <c r="B127" i="1" s="1"/>
  <c r="C128" i="1"/>
  <c r="B128" i="1" s="1"/>
  <c r="C129" i="1"/>
  <c r="B129" i="1" s="1"/>
  <c r="C130" i="1"/>
  <c r="B130" i="1" s="1"/>
  <c r="C131" i="1"/>
  <c r="B131" i="1" s="1"/>
  <c r="C132" i="1"/>
  <c r="B132" i="1" s="1"/>
  <c r="C133" i="1"/>
  <c r="B133" i="1" s="1"/>
  <c r="C134" i="1"/>
  <c r="B134" i="1" s="1"/>
  <c r="C135" i="1"/>
  <c r="B135" i="1" s="1"/>
  <c r="C136" i="1"/>
  <c r="B136" i="1" s="1"/>
  <c r="C137" i="1"/>
  <c r="B137" i="1" s="1"/>
  <c r="C138" i="1"/>
  <c r="B138" i="1" s="1"/>
  <c r="C139" i="1"/>
  <c r="B139" i="1" s="1"/>
  <c r="C140" i="1"/>
  <c r="B140" i="1" s="1"/>
  <c r="C141" i="1"/>
  <c r="B141" i="1" s="1"/>
  <c r="C142" i="1"/>
  <c r="B142" i="1" s="1"/>
  <c r="C143" i="1"/>
  <c r="B143" i="1" s="1"/>
  <c r="C144" i="1"/>
  <c r="B144" i="1" s="1"/>
  <c r="C145" i="1"/>
  <c r="B145" i="1" s="1"/>
  <c r="C146" i="1"/>
  <c r="B146" i="1" s="1"/>
  <c r="C147" i="1"/>
  <c r="B147" i="1" s="1"/>
  <c r="C148" i="1"/>
  <c r="B148" i="1" s="1"/>
  <c r="C149" i="1"/>
  <c r="B149" i="1" s="1"/>
  <c r="C150" i="1"/>
  <c r="B150" i="1" s="1"/>
  <c r="C151" i="1"/>
  <c r="B151" i="1" s="1"/>
  <c r="C152" i="1"/>
  <c r="B152" i="1" s="1"/>
  <c r="C153" i="1"/>
  <c r="B153" i="1" s="1"/>
  <c r="C154" i="1"/>
  <c r="B154" i="1" s="1"/>
  <c r="C155" i="1"/>
  <c r="B155" i="1" s="1"/>
  <c r="C156" i="1"/>
  <c r="B156" i="1" s="1"/>
  <c r="C157" i="1"/>
  <c r="B157" i="1" s="1"/>
  <c r="C158" i="1"/>
  <c r="B158" i="1" s="1"/>
  <c r="C159" i="1"/>
  <c r="B159" i="1" s="1"/>
  <c r="C160" i="1"/>
  <c r="B160" i="1" s="1"/>
  <c r="C161" i="1"/>
  <c r="B161" i="1" s="1"/>
  <c r="C162" i="1"/>
  <c r="B162" i="1" s="1"/>
  <c r="C163" i="1"/>
  <c r="B163" i="1" s="1"/>
  <c r="C164" i="1"/>
  <c r="B164" i="1" s="1"/>
  <c r="C165" i="1"/>
  <c r="B165" i="1" s="1"/>
  <c r="C166" i="1"/>
  <c r="B166" i="1" s="1"/>
  <c r="C167" i="1"/>
  <c r="B167" i="1" s="1"/>
  <c r="C168" i="1"/>
  <c r="B168" i="1" s="1"/>
  <c r="C169" i="1"/>
  <c r="B169" i="1" s="1"/>
  <c r="C170" i="1"/>
  <c r="B170" i="1" s="1"/>
  <c r="C171" i="1"/>
  <c r="B171" i="1" s="1"/>
  <c r="C172" i="1"/>
  <c r="B172" i="1" s="1"/>
  <c r="C173" i="1"/>
  <c r="B173" i="1" s="1"/>
  <c r="C174" i="1"/>
  <c r="B174" i="1" s="1"/>
  <c r="C175" i="1"/>
  <c r="B175" i="1" s="1"/>
  <c r="C176" i="1"/>
  <c r="B176" i="1" s="1"/>
  <c r="C177" i="1"/>
  <c r="B177" i="1" s="1"/>
  <c r="C178" i="1"/>
  <c r="B178" i="1" s="1"/>
  <c r="C179" i="1"/>
  <c r="B179" i="1" s="1"/>
  <c r="C180" i="1"/>
  <c r="B180" i="1" s="1"/>
  <c r="C181" i="1"/>
  <c r="B181" i="1" s="1"/>
  <c r="C182" i="1"/>
  <c r="B182" i="1" s="1"/>
  <c r="C183" i="1"/>
  <c r="B183" i="1" s="1"/>
  <c r="C184" i="1"/>
  <c r="B184" i="1" s="1"/>
  <c r="C185" i="1"/>
  <c r="B185" i="1" s="1"/>
  <c r="C186" i="1"/>
  <c r="B186" i="1" s="1"/>
  <c r="C187" i="1"/>
  <c r="B187" i="1" s="1"/>
  <c r="C188" i="1"/>
  <c r="B188" i="1" s="1"/>
  <c r="C189" i="1"/>
  <c r="B189" i="1" s="1"/>
  <c r="C190" i="1"/>
  <c r="B190" i="1" s="1"/>
  <c r="C191" i="1"/>
  <c r="B191" i="1" s="1"/>
  <c r="C192" i="1"/>
  <c r="B192" i="1" s="1"/>
  <c r="C193" i="1"/>
  <c r="B193" i="1" s="1"/>
  <c r="C194" i="1"/>
  <c r="B194" i="1" s="1"/>
  <c r="C195" i="1"/>
  <c r="B195" i="1" s="1"/>
  <c r="C196" i="1"/>
  <c r="B196" i="1" s="1"/>
  <c r="C197" i="1"/>
  <c r="B197" i="1" s="1"/>
  <c r="C198" i="1"/>
  <c r="B198" i="1" s="1"/>
  <c r="C199" i="1"/>
  <c r="B199" i="1" s="1"/>
  <c r="C200" i="1"/>
  <c r="B200" i="1" s="1"/>
  <c r="C201" i="1"/>
  <c r="B201" i="1" s="1"/>
  <c r="C202" i="1"/>
  <c r="B202" i="1" s="1"/>
  <c r="C203" i="1"/>
  <c r="B203" i="1" s="1"/>
  <c r="C204" i="1"/>
  <c r="B204" i="1" s="1"/>
  <c r="C205" i="1"/>
  <c r="B205" i="1" s="1"/>
  <c r="C206" i="1"/>
  <c r="B206" i="1" s="1"/>
  <c r="C207" i="1"/>
  <c r="B207" i="1" s="1"/>
  <c r="C208" i="1"/>
  <c r="B208" i="1" s="1"/>
  <c r="C209" i="1"/>
  <c r="B209" i="1" s="1"/>
  <c r="C210" i="1"/>
  <c r="B210" i="1" s="1"/>
  <c r="C211" i="1"/>
  <c r="B211" i="1" s="1"/>
  <c r="C212" i="1"/>
  <c r="B212" i="1" s="1"/>
  <c r="C213" i="1"/>
  <c r="B213" i="1" s="1"/>
  <c r="C214" i="1"/>
  <c r="B214" i="1" s="1"/>
  <c r="C215" i="1"/>
  <c r="B215" i="1" s="1"/>
  <c r="C216" i="1"/>
  <c r="B216" i="1" s="1"/>
  <c r="C217" i="1"/>
  <c r="B217" i="1" s="1"/>
  <c r="C218" i="1"/>
  <c r="B218" i="1" s="1"/>
  <c r="C219" i="1"/>
  <c r="B219" i="1" s="1"/>
  <c r="C220" i="1"/>
  <c r="B220" i="1" s="1"/>
  <c r="C221" i="1"/>
  <c r="B221" i="1" s="1"/>
  <c r="C222" i="1"/>
  <c r="B222" i="1" s="1"/>
  <c r="C223" i="1"/>
  <c r="B223" i="1" s="1"/>
  <c r="C224" i="1"/>
  <c r="B224" i="1" s="1"/>
  <c r="C225" i="1"/>
  <c r="B225" i="1" s="1"/>
  <c r="C226" i="1"/>
  <c r="B226" i="1" s="1"/>
  <c r="C227" i="1"/>
  <c r="B227" i="1" s="1"/>
  <c r="C228" i="1"/>
  <c r="B228" i="1" s="1"/>
  <c r="C229" i="1"/>
  <c r="B229" i="1" s="1"/>
  <c r="C230" i="1"/>
  <c r="B230" i="1" s="1"/>
  <c r="C231" i="1"/>
  <c r="B231" i="1" s="1"/>
  <c r="C232" i="1"/>
  <c r="B232" i="1" s="1"/>
  <c r="C233" i="1"/>
  <c r="B233" i="1" s="1"/>
  <c r="C234" i="1"/>
  <c r="B234" i="1" s="1"/>
  <c r="C235" i="1"/>
  <c r="B235" i="1" s="1"/>
  <c r="C236" i="1"/>
  <c r="B236" i="1" s="1"/>
  <c r="C237" i="1"/>
  <c r="B237" i="1" s="1"/>
  <c r="C238" i="1"/>
  <c r="B238" i="1" s="1"/>
  <c r="C239" i="1"/>
  <c r="B239" i="1" s="1"/>
  <c r="C240" i="1"/>
  <c r="B240" i="1" s="1"/>
  <c r="C241" i="1"/>
  <c r="B241" i="1" s="1"/>
  <c r="C242" i="1"/>
  <c r="B242" i="1" s="1"/>
  <c r="C243" i="1"/>
  <c r="B243" i="1" s="1"/>
  <c r="C244" i="1"/>
  <c r="B244" i="1" s="1"/>
  <c r="C245" i="1"/>
  <c r="B245" i="1" s="1"/>
  <c r="C246" i="1"/>
  <c r="B246" i="1" s="1"/>
  <c r="C247" i="1"/>
  <c r="B247" i="1" s="1"/>
  <c r="C248" i="1"/>
  <c r="B248" i="1" s="1"/>
  <c r="C249" i="1"/>
  <c r="B249" i="1" s="1"/>
  <c r="C250" i="1"/>
  <c r="B250" i="1" s="1"/>
  <c r="C251" i="1"/>
  <c r="B251" i="1" s="1"/>
  <c r="C252" i="1"/>
  <c r="B252" i="1" s="1"/>
  <c r="C253" i="1"/>
  <c r="B253" i="1" s="1"/>
  <c r="C254" i="1"/>
  <c r="B254" i="1" s="1"/>
  <c r="C255" i="1"/>
  <c r="B255" i="1" s="1"/>
  <c r="C256" i="1"/>
  <c r="B256" i="1" s="1"/>
  <c r="C257" i="1"/>
  <c r="B257" i="1" s="1"/>
  <c r="C258" i="1"/>
  <c r="B258" i="1" s="1"/>
  <c r="C259" i="1"/>
  <c r="B259" i="1" s="1"/>
  <c r="C260" i="1"/>
  <c r="B260" i="1" s="1"/>
  <c r="C261" i="1"/>
  <c r="B261" i="1" s="1"/>
  <c r="C262" i="1"/>
  <c r="B262" i="1" s="1"/>
  <c r="C263" i="1"/>
  <c r="B263" i="1" s="1"/>
  <c r="C264" i="1"/>
  <c r="B264" i="1" s="1"/>
  <c r="C265" i="1"/>
  <c r="B265" i="1" s="1"/>
  <c r="C266" i="1"/>
  <c r="B266" i="1" s="1"/>
  <c r="C267" i="1"/>
  <c r="B267" i="1" s="1"/>
  <c r="C268" i="1"/>
  <c r="B268" i="1" s="1"/>
  <c r="C269" i="1"/>
  <c r="B269" i="1" s="1"/>
  <c r="C270" i="1"/>
  <c r="B270" i="1" s="1"/>
  <c r="C271" i="1"/>
  <c r="B271" i="1" s="1"/>
  <c r="C272" i="1"/>
  <c r="B272" i="1" s="1"/>
  <c r="C273" i="1"/>
  <c r="B273" i="1" s="1"/>
  <c r="C274" i="1"/>
  <c r="B274" i="1" s="1"/>
  <c r="C275" i="1"/>
  <c r="B275" i="1" s="1"/>
  <c r="C276" i="1"/>
  <c r="B276" i="1" s="1"/>
  <c r="C277" i="1"/>
  <c r="B277" i="1" s="1"/>
  <c r="C278" i="1"/>
  <c r="B278" i="1" s="1"/>
  <c r="C279" i="1"/>
  <c r="B279" i="1" s="1"/>
  <c r="C280" i="1"/>
  <c r="B280" i="1" s="1"/>
  <c r="C281" i="1"/>
  <c r="B281" i="1" s="1"/>
  <c r="C282" i="1"/>
  <c r="B282" i="1" s="1"/>
  <c r="C283" i="1"/>
  <c r="B283" i="1" s="1"/>
  <c r="C284" i="1"/>
  <c r="B284" i="1" s="1"/>
  <c r="C285" i="1"/>
  <c r="B285" i="1" s="1"/>
  <c r="C286" i="1"/>
  <c r="B286" i="1" s="1"/>
  <c r="C287" i="1"/>
  <c r="B287" i="1" s="1"/>
  <c r="C288" i="1"/>
  <c r="B288" i="1" s="1"/>
  <c r="C289" i="1"/>
  <c r="B289" i="1" s="1"/>
  <c r="C290" i="1"/>
  <c r="B290" i="1" s="1"/>
  <c r="C291" i="1"/>
  <c r="B291" i="1" s="1"/>
  <c r="C292" i="1"/>
  <c r="B292" i="1" s="1"/>
  <c r="C293" i="1"/>
  <c r="B293" i="1" s="1"/>
  <c r="C294" i="1"/>
  <c r="B294" i="1" s="1"/>
  <c r="C295" i="1"/>
  <c r="B295" i="1" s="1"/>
  <c r="C296" i="1"/>
  <c r="B296" i="1" s="1"/>
  <c r="C297" i="1"/>
  <c r="B297" i="1" s="1"/>
  <c r="C298" i="1"/>
  <c r="B298" i="1" s="1"/>
  <c r="C299" i="1"/>
  <c r="B299" i="1" s="1"/>
  <c r="C300" i="1"/>
  <c r="B300" i="1" s="1"/>
  <c r="C301" i="1"/>
  <c r="B301" i="1" s="1"/>
  <c r="C302" i="1"/>
  <c r="B302" i="1" s="1"/>
  <c r="C303" i="1"/>
  <c r="B303" i="1" s="1"/>
  <c r="C304" i="1"/>
  <c r="B304" i="1" s="1"/>
  <c r="C305" i="1"/>
  <c r="B305" i="1" s="1"/>
  <c r="C306" i="1"/>
  <c r="B306" i="1" s="1"/>
  <c r="C307" i="1"/>
  <c r="B307" i="1" s="1"/>
  <c r="C308" i="1"/>
  <c r="B308" i="1" s="1"/>
  <c r="C309" i="1"/>
  <c r="B309" i="1" s="1"/>
  <c r="C310" i="1"/>
  <c r="B310" i="1" s="1"/>
  <c r="C311" i="1"/>
  <c r="B311" i="1" s="1"/>
  <c r="C312" i="1"/>
  <c r="B312" i="1" s="1"/>
  <c r="C313" i="1"/>
  <c r="B313" i="1" s="1"/>
  <c r="C314" i="1"/>
  <c r="B314" i="1" s="1"/>
  <c r="C315" i="1"/>
  <c r="B315" i="1" s="1"/>
  <c r="C316" i="1"/>
  <c r="B316" i="1" s="1"/>
  <c r="C317" i="1"/>
  <c r="B317" i="1" s="1"/>
  <c r="C318" i="1"/>
  <c r="B318" i="1" s="1"/>
  <c r="C319" i="1"/>
  <c r="B319" i="1" s="1"/>
  <c r="C320" i="1"/>
  <c r="B320" i="1" s="1"/>
  <c r="C321" i="1"/>
  <c r="B321" i="1" s="1"/>
  <c r="C322" i="1"/>
  <c r="B322" i="1" s="1"/>
  <c r="C323" i="1"/>
  <c r="B323" i="1" s="1"/>
  <c r="C324" i="1"/>
  <c r="B324" i="1" s="1"/>
  <c r="C325" i="1"/>
  <c r="B325" i="1" s="1"/>
  <c r="C326" i="1"/>
  <c r="B326" i="1" s="1"/>
  <c r="C327" i="1"/>
  <c r="B327" i="1" s="1"/>
  <c r="C328" i="1"/>
  <c r="B328" i="1" s="1"/>
  <c r="C329" i="1"/>
  <c r="B329" i="1" s="1"/>
  <c r="C330" i="1"/>
  <c r="B330" i="1" s="1"/>
  <c r="C331" i="1"/>
  <c r="B331" i="1" s="1"/>
  <c r="C332" i="1"/>
  <c r="B332" i="1" s="1"/>
  <c r="C333" i="1"/>
  <c r="B333" i="1" s="1"/>
  <c r="C334" i="1"/>
  <c r="B334" i="1" s="1"/>
  <c r="C335" i="1"/>
  <c r="B335" i="1" s="1"/>
  <c r="C336" i="1"/>
  <c r="B336" i="1" s="1"/>
  <c r="C337" i="1"/>
  <c r="B337" i="1" s="1"/>
  <c r="C338" i="1"/>
  <c r="B338" i="1" s="1"/>
  <c r="C339" i="1"/>
  <c r="B339" i="1" s="1"/>
  <c r="C340" i="1"/>
  <c r="B340" i="1" s="1"/>
  <c r="C341" i="1"/>
  <c r="B341" i="1" s="1"/>
  <c r="C342" i="1"/>
  <c r="B342" i="1" s="1"/>
  <c r="C343" i="1"/>
  <c r="B343" i="1" s="1"/>
  <c r="C344" i="1"/>
  <c r="B344" i="1" s="1"/>
  <c r="C345" i="1"/>
  <c r="B345" i="1" s="1"/>
  <c r="C346" i="1"/>
  <c r="B346" i="1" s="1"/>
  <c r="C347" i="1"/>
  <c r="B347" i="1" s="1"/>
  <c r="C348" i="1"/>
  <c r="B348" i="1" s="1"/>
  <c r="C349" i="1"/>
  <c r="B349" i="1" s="1"/>
  <c r="C350" i="1"/>
  <c r="B350" i="1" s="1"/>
  <c r="C351" i="1"/>
  <c r="B351" i="1" s="1"/>
  <c r="C352" i="1"/>
  <c r="B352" i="1" s="1"/>
  <c r="C353" i="1"/>
  <c r="B353" i="1" s="1"/>
  <c r="C354" i="1"/>
  <c r="B354" i="1" s="1"/>
  <c r="C355" i="1"/>
  <c r="B355" i="1" s="1"/>
  <c r="C356" i="1"/>
  <c r="B356" i="1" s="1"/>
  <c r="C357" i="1"/>
  <c r="B357" i="1" s="1"/>
  <c r="C358" i="1"/>
  <c r="B358" i="1" s="1"/>
  <c r="C359" i="1"/>
  <c r="B359" i="1" s="1"/>
  <c r="C360" i="1"/>
  <c r="B360" i="1" s="1"/>
  <c r="C361" i="1"/>
  <c r="B361" i="1" s="1"/>
  <c r="C362" i="1"/>
  <c r="B362" i="1" s="1"/>
  <c r="C363" i="1"/>
  <c r="B363" i="1" s="1"/>
  <c r="C364" i="1"/>
  <c r="B364" i="1" s="1"/>
  <c r="C365" i="1"/>
  <c r="B365" i="1" s="1"/>
  <c r="C366" i="1"/>
  <c r="B366" i="1" s="1"/>
  <c r="C367" i="1"/>
  <c r="B367" i="1" s="1"/>
  <c r="C368" i="1"/>
  <c r="B368" i="1" s="1"/>
  <c r="C369" i="1"/>
  <c r="B369" i="1" s="1"/>
  <c r="C370" i="1"/>
  <c r="B370" i="1" s="1"/>
  <c r="C371" i="1"/>
  <c r="B371" i="1" s="1"/>
  <c r="C372" i="1"/>
  <c r="B372" i="1" s="1"/>
  <c r="C373" i="1"/>
  <c r="B373" i="1" s="1"/>
  <c r="C374" i="1"/>
  <c r="B374" i="1" s="1"/>
  <c r="C375" i="1"/>
  <c r="B375" i="1" s="1"/>
  <c r="C376" i="1"/>
  <c r="B376" i="1" s="1"/>
  <c r="C377" i="1"/>
  <c r="B377" i="1" s="1"/>
  <c r="C378" i="1"/>
  <c r="B378" i="1" s="1"/>
  <c r="C379" i="1"/>
  <c r="B379" i="1" s="1"/>
  <c r="C380" i="1"/>
  <c r="B380" i="1" s="1"/>
  <c r="C381" i="1"/>
  <c r="B381" i="1" s="1"/>
  <c r="C382" i="1"/>
  <c r="B382" i="1" s="1"/>
  <c r="C383" i="1"/>
  <c r="B383" i="1" s="1"/>
  <c r="C384" i="1"/>
  <c r="B384" i="1" s="1"/>
  <c r="C385" i="1"/>
  <c r="B385" i="1" s="1"/>
  <c r="C386" i="1"/>
  <c r="B386" i="1" s="1"/>
  <c r="C387" i="1"/>
  <c r="B387" i="1" s="1"/>
  <c r="C388" i="1"/>
  <c r="B388" i="1" s="1"/>
  <c r="C389" i="1"/>
  <c r="B389" i="1" s="1"/>
  <c r="C390" i="1"/>
  <c r="B390" i="1" s="1"/>
  <c r="C391" i="1"/>
  <c r="B391" i="1" s="1"/>
  <c r="C392" i="1"/>
  <c r="B392" i="1" s="1"/>
  <c r="C393" i="1"/>
  <c r="B393" i="1" s="1"/>
  <c r="C394" i="1"/>
  <c r="B394" i="1" s="1"/>
  <c r="C395" i="1"/>
  <c r="B395" i="1" s="1"/>
  <c r="C396" i="1"/>
  <c r="B396" i="1" s="1"/>
  <c r="C397" i="1"/>
  <c r="B397" i="1" s="1"/>
  <c r="C398" i="1"/>
  <c r="B398" i="1" s="1"/>
  <c r="C399" i="1"/>
  <c r="B399" i="1" s="1"/>
  <c r="C400" i="1"/>
  <c r="B400" i="1" s="1"/>
  <c r="C401" i="1"/>
  <c r="B401" i="1" s="1"/>
  <c r="C402" i="1"/>
  <c r="B402" i="1" s="1"/>
  <c r="C403" i="1"/>
  <c r="B403" i="1" s="1"/>
  <c r="C404" i="1"/>
  <c r="B404" i="1" s="1"/>
  <c r="C405" i="1"/>
  <c r="B405" i="1" s="1"/>
  <c r="C406" i="1"/>
  <c r="B406" i="1" s="1"/>
  <c r="C407" i="1"/>
  <c r="B407" i="1" s="1"/>
  <c r="C408" i="1"/>
  <c r="B408" i="1" s="1"/>
  <c r="C409" i="1"/>
  <c r="B409" i="1" s="1"/>
  <c r="C410" i="1"/>
  <c r="B410" i="1" s="1"/>
  <c r="C411" i="1"/>
  <c r="B411" i="1" s="1"/>
  <c r="C412" i="1"/>
  <c r="B412" i="1" s="1"/>
  <c r="C413" i="1"/>
  <c r="B413" i="1" s="1"/>
  <c r="C414" i="1"/>
  <c r="B414" i="1" s="1"/>
  <c r="C415" i="1"/>
  <c r="B415" i="1" s="1"/>
  <c r="C416" i="1"/>
  <c r="B416" i="1" s="1"/>
  <c r="C417" i="1"/>
  <c r="B417" i="1" s="1"/>
  <c r="C418" i="1"/>
  <c r="B418" i="1" s="1"/>
  <c r="C419" i="1"/>
  <c r="B419" i="1" s="1"/>
  <c r="C420" i="1"/>
  <c r="B420" i="1" s="1"/>
  <c r="C421" i="1"/>
  <c r="B421" i="1" s="1"/>
  <c r="C422" i="1"/>
  <c r="B422" i="1" s="1"/>
  <c r="C423" i="1"/>
  <c r="B423" i="1" s="1"/>
  <c r="C424" i="1"/>
  <c r="B424" i="1" s="1"/>
  <c r="C425" i="1"/>
  <c r="B425" i="1" s="1"/>
  <c r="C426" i="1"/>
  <c r="B426" i="1" s="1"/>
  <c r="C427" i="1"/>
  <c r="B427" i="1" s="1"/>
  <c r="C428" i="1"/>
  <c r="B428" i="1" s="1"/>
  <c r="C429" i="1"/>
  <c r="B429" i="1" s="1"/>
  <c r="C430" i="1"/>
  <c r="B430" i="1" s="1"/>
  <c r="C431" i="1"/>
  <c r="B431" i="1" s="1"/>
  <c r="C432" i="1"/>
  <c r="B432" i="1" s="1"/>
  <c r="C433" i="1"/>
  <c r="B433" i="1" s="1"/>
  <c r="C434" i="1"/>
  <c r="B434" i="1" s="1"/>
  <c r="C435" i="1"/>
  <c r="B435" i="1" s="1"/>
  <c r="C436" i="1"/>
  <c r="B436" i="1" s="1"/>
  <c r="C437" i="1"/>
  <c r="B437" i="1" s="1"/>
  <c r="C438" i="1"/>
  <c r="B438" i="1" s="1"/>
  <c r="C439" i="1"/>
  <c r="B439" i="1" s="1"/>
  <c r="C440" i="1"/>
  <c r="B440" i="1" s="1"/>
  <c r="C441" i="1"/>
  <c r="B441" i="1" s="1"/>
  <c r="C442" i="1"/>
  <c r="B442" i="1" s="1"/>
  <c r="C443" i="1"/>
  <c r="B443" i="1" s="1"/>
  <c r="C444" i="1"/>
  <c r="B444" i="1" s="1"/>
  <c r="C445" i="1"/>
  <c r="B445" i="1" s="1"/>
  <c r="C446" i="1"/>
  <c r="B446" i="1" s="1"/>
  <c r="C447" i="1"/>
  <c r="B447" i="1" s="1"/>
  <c r="C448" i="1"/>
  <c r="B448" i="1" s="1"/>
  <c r="C449" i="1"/>
  <c r="B449" i="1" s="1"/>
  <c r="C450" i="1"/>
  <c r="B450" i="1" s="1"/>
  <c r="C451" i="1"/>
  <c r="B451" i="1" s="1"/>
  <c r="C452" i="1"/>
  <c r="B452" i="1" s="1"/>
  <c r="C453" i="1"/>
  <c r="B453" i="1" s="1"/>
  <c r="C454" i="1"/>
  <c r="B454" i="1" s="1"/>
  <c r="C455" i="1"/>
  <c r="B455" i="1" s="1"/>
  <c r="C456" i="1"/>
  <c r="B456" i="1" s="1"/>
  <c r="C457" i="1"/>
  <c r="B457" i="1" s="1"/>
  <c r="C458" i="1"/>
  <c r="B458" i="1" s="1"/>
  <c r="C459" i="1"/>
  <c r="B459" i="1" s="1"/>
  <c r="C460" i="1"/>
  <c r="B460" i="1" s="1"/>
  <c r="C461" i="1"/>
  <c r="B461" i="1" s="1"/>
  <c r="C462" i="1"/>
  <c r="B462" i="1" s="1"/>
  <c r="C463" i="1"/>
  <c r="B463" i="1" s="1"/>
  <c r="C464" i="1"/>
  <c r="B464" i="1" s="1"/>
  <c r="C465" i="1"/>
  <c r="B465" i="1" s="1"/>
  <c r="C466" i="1"/>
  <c r="B466" i="1" s="1"/>
  <c r="C467" i="1"/>
  <c r="B467" i="1" s="1"/>
  <c r="C468" i="1"/>
  <c r="B468" i="1" s="1"/>
  <c r="C469" i="1"/>
  <c r="B469" i="1" s="1"/>
  <c r="C470" i="1"/>
  <c r="B470" i="1" s="1"/>
  <c r="C471" i="1"/>
  <c r="B471" i="1" s="1"/>
  <c r="C472" i="1"/>
  <c r="B472" i="1" s="1"/>
  <c r="C473" i="1"/>
  <c r="B473" i="1" s="1"/>
  <c r="C474" i="1"/>
  <c r="B474" i="1" s="1"/>
  <c r="C475" i="1"/>
  <c r="B475" i="1" s="1"/>
  <c r="C476" i="1"/>
  <c r="B476" i="1" s="1"/>
  <c r="C477" i="1"/>
  <c r="B477" i="1" s="1"/>
  <c r="C478" i="1"/>
  <c r="B478" i="1" s="1"/>
  <c r="C479" i="1"/>
  <c r="B479" i="1" s="1"/>
  <c r="C480" i="1"/>
  <c r="B480" i="1" s="1"/>
  <c r="C481" i="1"/>
  <c r="B481" i="1" s="1"/>
  <c r="C482" i="1"/>
  <c r="B482" i="1" s="1"/>
  <c r="C483" i="1"/>
  <c r="B483" i="1" s="1"/>
  <c r="C484" i="1"/>
  <c r="B484" i="1" s="1"/>
  <c r="C485" i="1"/>
  <c r="B485" i="1" s="1"/>
  <c r="C486" i="1"/>
  <c r="B486" i="1" s="1"/>
  <c r="C487" i="1"/>
  <c r="B487" i="1" s="1"/>
  <c r="C488" i="1"/>
  <c r="B488" i="1" s="1"/>
  <c r="C489" i="1"/>
  <c r="B489" i="1" s="1"/>
  <c r="C490" i="1"/>
  <c r="B490" i="1" s="1"/>
  <c r="C491" i="1"/>
  <c r="B491" i="1" s="1"/>
  <c r="C492" i="1"/>
  <c r="B492" i="1" s="1"/>
  <c r="C493" i="1"/>
  <c r="B493" i="1" s="1"/>
  <c r="C494" i="1"/>
  <c r="B494" i="1" s="1"/>
  <c r="C495" i="1"/>
  <c r="B495" i="1" s="1"/>
  <c r="C496" i="1"/>
  <c r="B496" i="1" s="1"/>
  <c r="C497" i="1"/>
  <c r="B497" i="1" s="1"/>
  <c r="C498" i="1"/>
  <c r="B498" i="1" s="1"/>
  <c r="C499" i="1"/>
  <c r="B499" i="1" s="1"/>
  <c r="C500" i="1"/>
  <c r="B500" i="1" s="1"/>
  <c r="C501" i="1"/>
  <c r="B501" i="1" s="1"/>
  <c r="C502" i="1"/>
  <c r="B502" i="1" s="1"/>
  <c r="C503" i="1"/>
  <c r="B503" i="1" s="1"/>
  <c r="C504" i="1"/>
  <c r="B504" i="1" s="1"/>
  <c r="C505" i="1"/>
  <c r="B505" i="1" s="1"/>
  <c r="C506" i="1"/>
  <c r="B506" i="1" s="1"/>
  <c r="C507" i="1"/>
  <c r="B507" i="1" s="1"/>
  <c r="C508" i="1"/>
  <c r="B508" i="1" s="1"/>
  <c r="C509" i="1"/>
  <c r="B509" i="1" s="1"/>
  <c r="C510" i="1"/>
  <c r="B510" i="1" s="1"/>
  <c r="C511" i="1"/>
  <c r="B511" i="1" s="1"/>
  <c r="C512" i="1"/>
  <c r="B512" i="1" s="1"/>
  <c r="C513" i="1"/>
  <c r="B513" i="1" s="1"/>
  <c r="C514" i="1"/>
  <c r="B514" i="1" s="1"/>
  <c r="C515" i="1"/>
  <c r="B515" i="1" s="1"/>
  <c r="C516" i="1"/>
  <c r="B516" i="1" s="1"/>
  <c r="C517" i="1"/>
  <c r="B517" i="1" s="1"/>
  <c r="C518" i="1"/>
  <c r="B518" i="1" s="1"/>
  <c r="C519" i="1"/>
  <c r="B519" i="1" s="1"/>
  <c r="C520" i="1"/>
  <c r="B520" i="1" s="1"/>
  <c r="C521" i="1"/>
  <c r="B521" i="1" s="1"/>
  <c r="C522" i="1"/>
  <c r="B522" i="1" s="1"/>
  <c r="C523" i="1"/>
  <c r="B523" i="1" s="1"/>
  <c r="C524" i="1"/>
  <c r="B524" i="1" s="1"/>
  <c r="C525" i="1"/>
  <c r="B525" i="1" s="1"/>
  <c r="C526" i="1"/>
  <c r="B526" i="1" s="1"/>
  <c r="C527" i="1"/>
  <c r="B527" i="1" s="1"/>
  <c r="C528" i="1"/>
  <c r="B528" i="1" s="1"/>
  <c r="C529" i="1"/>
  <c r="B529" i="1" s="1"/>
  <c r="C530" i="1"/>
  <c r="B530" i="1" s="1"/>
  <c r="C531" i="1"/>
  <c r="B531" i="1" s="1"/>
  <c r="C532" i="1"/>
  <c r="B532" i="1" s="1"/>
  <c r="C533" i="1"/>
  <c r="B533" i="1" s="1"/>
  <c r="C534" i="1"/>
  <c r="B534" i="1" s="1"/>
  <c r="C535" i="1"/>
  <c r="B535" i="1" s="1"/>
  <c r="C536" i="1"/>
  <c r="B536" i="1" s="1"/>
  <c r="C537" i="1"/>
  <c r="B537" i="1" s="1"/>
  <c r="C538" i="1"/>
  <c r="B538" i="1" s="1"/>
  <c r="C539" i="1"/>
  <c r="B539" i="1" s="1"/>
  <c r="C540" i="1"/>
  <c r="B540" i="1" s="1"/>
  <c r="C541" i="1"/>
  <c r="B541" i="1" s="1"/>
  <c r="C542" i="1"/>
  <c r="B542" i="1" s="1"/>
  <c r="C543" i="1"/>
  <c r="B543" i="1" s="1"/>
  <c r="C544" i="1"/>
  <c r="B544" i="1" s="1"/>
  <c r="C545" i="1"/>
  <c r="B545" i="1" s="1"/>
  <c r="C546" i="1"/>
  <c r="B546" i="1" s="1"/>
  <c r="C547" i="1"/>
  <c r="B547" i="1" s="1"/>
  <c r="C548" i="1"/>
  <c r="B548" i="1" s="1"/>
  <c r="C549" i="1"/>
  <c r="B549" i="1" s="1"/>
  <c r="C550" i="1"/>
  <c r="B550" i="1" s="1"/>
  <c r="C551" i="1"/>
  <c r="B551" i="1" s="1"/>
  <c r="C552" i="1"/>
  <c r="B552" i="1" s="1"/>
  <c r="C553" i="1"/>
  <c r="B553" i="1" s="1"/>
  <c r="C554" i="1"/>
  <c r="B554" i="1" s="1"/>
  <c r="C555" i="1"/>
  <c r="B555" i="1" s="1"/>
  <c r="C556" i="1"/>
  <c r="B556" i="1" s="1"/>
  <c r="C557" i="1"/>
  <c r="B557" i="1" s="1"/>
  <c r="C558" i="1"/>
  <c r="B558" i="1" s="1"/>
  <c r="C559" i="1"/>
  <c r="B559" i="1" s="1"/>
  <c r="C560" i="1"/>
  <c r="B560" i="1" s="1"/>
  <c r="C561" i="1"/>
  <c r="B561" i="1" s="1"/>
  <c r="C562" i="1"/>
  <c r="B562" i="1" s="1"/>
  <c r="C563" i="1"/>
  <c r="B563" i="1" s="1"/>
  <c r="C564" i="1"/>
  <c r="B564" i="1" s="1"/>
  <c r="C565" i="1"/>
  <c r="B565" i="1" s="1"/>
  <c r="C566" i="1"/>
  <c r="B566" i="1" s="1"/>
  <c r="C567" i="1"/>
  <c r="B567" i="1" s="1"/>
  <c r="C568" i="1"/>
  <c r="B568" i="1" s="1"/>
  <c r="C569" i="1"/>
  <c r="B569" i="1" s="1"/>
  <c r="C570" i="1"/>
  <c r="B570" i="1" s="1"/>
  <c r="C571" i="1"/>
  <c r="B571" i="1" s="1"/>
  <c r="C572" i="1"/>
  <c r="B572" i="1" s="1"/>
  <c r="C573" i="1"/>
  <c r="B573" i="1" s="1"/>
  <c r="C574" i="1"/>
  <c r="B574" i="1" s="1"/>
  <c r="C575" i="1"/>
  <c r="B575" i="1" s="1"/>
  <c r="C576" i="1"/>
  <c r="B576" i="1" s="1"/>
  <c r="C577" i="1"/>
  <c r="B577" i="1" s="1"/>
  <c r="C578" i="1"/>
  <c r="B578" i="1" s="1"/>
  <c r="C579" i="1"/>
  <c r="B579" i="1" s="1"/>
  <c r="C580" i="1"/>
  <c r="B580" i="1" s="1"/>
  <c r="C581" i="1"/>
  <c r="B581" i="1" s="1"/>
  <c r="C582" i="1"/>
  <c r="B582" i="1" s="1"/>
  <c r="C583" i="1"/>
  <c r="B583" i="1" s="1"/>
  <c r="C584" i="1"/>
  <c r="B584" i="1" s="1"/>
  <c r="C585" i="1"/>
  <c r="B585" i="1" s="1"/>
  <c r="C586" i="1"/>
  <c r="B586" i="1" s="1"/>
  <c r="C587" i="1"/>
  <c r="B587" i="1" s="1"/>
  <c r="C588" i="1"/>
  <c r="B588" i="1" s="1"/>
  <c r="C589" i="1"/>
  <c r="B589" i="1" s="1"/>
  <c r="C590" i="1"/>
  <c r="B590" i="1" s="1"/>
  <c r="C591" i="1"/>
  <c r="B591" i="1" s="1"/>
  <c r="C592" i="1"/>
  <c r="B592" i="1" s="1"/>
  <c r="C593" i="1"/>
  <c r="B593" i="1" s="1"/>
  <c r="C594" i="1"/>
  <c r="B594" i="1" s="1"/>
  <c r="C595" i="1"/>
  <c r="B595" i="1" s="1"/>
  <c r="C596" i="1"/>
  <c r="B596" i="1" s="1"/>
  <c r="C597" i="1"/>
  <c r="B597" i="1" s="1"/>
  <c r="C598" i="1"/>
  <c r="B598" i="1" s="1"/>
  <c r="C599" i="1"/>
  <c r="B599" i="1" s="1"/>
  <c r="C600" i="1"/>
  <c r="B600" i="1" s="1"/>
  <c r="C601" i="1"/>
  <c r="B601" i="1" s="1"/>
  <c r="C602" i="1"/>
  <c r="B602" i="1" s="1"/>
  <c r="C603" i="1"/>
  <c r="B603" i="1" s="1"/>
  <c r="C604" i="1"/>
  <c r="B604" i="1" s="1"/>
  <c r="C605" i="1"/>
  <c r="B605" i="1" s="1"/>
  <c r="C606" i="1"/>
  <c r="B606" i="1" s="1"/>
  <c r="C607" i="1"/>
  <c r="B607" i="1" s="1"/>
  <c r="C608" i="1"/>
  <c r="B608" i="1" s="1"/>
  <c r="C609" i="1"/>
  <c r="B609" i="1" s="1"/>
  <c r="C610" i="1"/>
  <c r="B610" i="1" s="1"/>
  <c r="C611" i="1"/>
  <c r="B611" i="1" s="1"/>
  <c r="C612" i="1"/>
  <c r="B612" i="1" s="1"/>
  <c r="C613" i="1"/>
  <c r="B613" i="1" s="1"/>
  <c r="C614" i="1"/>
  <c r="B614" i="1" s="1"/>
  <c r="C615" i="1"/>
  <c r="B615" i="1" s="1"/>
  <c r="C616" i="1"/>
  <c r="B616" i="1" s="1"/>
  <c r="C617" i="1"/>
  <c r="B617" i="1" s="1"/>
  <c r="C618" i="1"/>
  <c r="B618" i="1" s="1"/>
  <c r="C619" i="1"/>
  <c r="B619" i="1" s="1"/>
  <c r="C620" i="1"/>
  <c r="B620" i="1" s="1"/>
  <c r="C621" i="1"/>
  <c r="B621" i="1" s="1"/>
  <c r="C622" i="1"/>
  <c r="B622" i="1" s="1"/>
  <c r="C623" i="1"/>
  <c r="B623" i="1" s="1"/>
  <c r="C624" i="1"/>
  <c r="B624" i="1" s="1"/>
  <c r="C625" i="1"/>
  <c r="B625" i="1" s="1"/>
  <c r="C626" i="1"/>
  <c r="B626" i="1" s="1"/>
  <c r="C627" i="1"/>
  <c r="B627" i="1" s="1"/>
  <c r="C628" i="1"/>
  <c r="B628" i="1" s="1"/>
  <c r="C629" i="1"/>
  <c r="B629" i="1" s="1"/>
  <c r="C630" i="1"/>
  <c r="B630" i="1" s="1"/>
  <c r="C631" i="1"/>
  <c r="B631" i="1" s="1"/>
  <c r="C632" i="1"/>
  <c r="B632" i="1" s="1"/>
  <c r="C633" i="1"/>
  <c r="B633" i="1" s="1"/>
  <c r="C634" i="1"/>
  <c r="B634" i="1" s="1"/>
  <c r="C635" i="1"/>
  <c r="B635" i="1" s="1"/>
  <c r="C636" i="1"/>
  <c r="B636" i="1" s="1"/>
  <c r="C637" i="1"/>
  <c r="B637" i="1" s="1"/>
  <c r="C638" i="1"/>
  <c r="B638" i="1" s="1"/>
  <c r="C639" i="1"/>
  <c r="B639" i="1" s="1"/>
  <c r="C640" i="1"/>
  <c r="B640" i="1" s="1"/>
  <c r="C641" i="1"/>
  <c r="B641" i="1" s="1"/>
  <c r="C642" i="1"/>
  <c r="B642" i="1" s="1"/>
  <c r="C643" i="1"/>
  <c r="B643" i="1" s="1"/>
  <c r="C644" i="1"/>
  <c r="B644" i="1" s="1"/>
  <c r="C645" i="1"/>
  <c r="B645" i="1" s="1"/>
  <c r="C646" i="1"/>
  <c r="B646" i="1" s="1"/>
  <c r="C647" i="1"/>
  <c r="B647" i="1" s="1"/>
  <c r="C648" i="1"/>
  <c r="B648" i="1" s="1"/>
  <c r="C649" i="1"/>
  <c r="B649" i="1" s="1"/>
  <c r="C650" i="1"/>
  <c r="B650" i="1" s="1"/>
  <c r="C651" i="1"/>
  <c r="B651" i="1" s="1"/>
  <c r="C652" i="1"/>
  <c r="B652" i="1" s="1"/>
  <c r="C653" i="1"/>
  <c r="B653" i="1" s="1"/>
  <c r="C654" i="1"/>
  <c r="B654" i="1" s="1"/>
  <c r="C655" i="1"/>
  <c r="B655" i="1" s="1"/>
  <c r="C656" i="1"/>
  <c r="B656" i="1" s="1"/>
  <c r="C657" i="1"/>
  <c r="B657" i="1" s="1"/>
  <c r="C658" i="1"/>
  <c r="B658" i="1" s="1"/>
  <c r="C659" i="1"/>
  <c r="B659" i="1" s="1"/>
  <c r="C660" i="1"/>
  <c r="B660" i="1" s="1"/>
  <c r="C661" i="1"/>
  <c r="B661" i="1" s="1"/>
  <c r="C662" i="1"/>
  <c r="B662" i="1" s="1"/>
  <c r="C663" i="1"/>
  <c r="B663" i="1" s="1"/>
  <c r="C664" i="1"/>
  <c r="B664" i="1" s="1"/>
  <c r="C665" i="1"/>
  <c r="B665" i="1" s="1"/>
  <c r="C666" i="1"/>
  <c r="B666" i="1" s="1"/>
  <c r="C667" i="1"/>
  <c r="B667" i="1" s="1"/>
  <c r="C668" i="1"/>
  <c r="B668" i="1" s="1"/>
  <c r="C669" i="1"/>
  <c r="B669" i="1" s="1"/>
  <c r="C670" i="1"/>
  <c r="B670" i="1" s="1"/>
  <c r="C671" i="1"/>
  <c r="B671" i="1" s="1"/>
  <c r="C672" i="1"/>
  <c r="B672" i="1" s="1"/>
  <c r="C673" i="1"/>
  <c r="B673" i="1" s="1"/>
  <c r="C674" i="1"/>
  <c r="B674" i="1" s="1"/>
  <c r="C675" i="1"/>
  <c r="B675" i="1" s="1"/>
  <c r="C676" i="1"/>
  <c r="B676" i="1" s="1"/>
  <c r="C677" i="1"/>
  <c r="B677" i="1" s="1"/>
  <c r="C678" i="1"/>
  <c r="B678" i="1" s="1"/>
  <c r="C679" i="1"/>
  <c r="B679" i="1" s="1"/>
  <c r="C680" i="1"/>
  <c r="B680" i="1" s="1"/>
  <c r="C681" i="1"/>
  <c r="B681" i="1" s="1"/>
  <c r="C682" i="1"/>
  <c r="B682" i="1" s="1"/>
  <c r="C683" i="1"/>
  <c r="B683" i="1" s="1"/>
  <c r="C684" i="1"/>
  <c r="B684" i="1" s="1"/>
  <c r="C685" i="1"/>
  <c r="B685" i="1" s="1"/>
  <c r="C686" i="1"/>
  <c r="B686" i="1" s="1"/>
  <c r="C687" i="1"/>
  <c r="B687" i="1" s="1"/>
  <c r="C688" i="1"/>
  <c r="B688" i="1" s="1"/>
  <c r="C689" i="1"/>
  <c r="B689" i="1" s="1"/>
  <c r="C690" i="1"/>
  <c r="B690" i="1" s="1"/>
  <c r="C691" i="1"/>
  <c r="B691" i="1" s="1"/>
  <c r="C692" i="1"/>
  <c r="B692" i="1" s="1"/>
  <c r="C693" i="1"/>
  <c r="B693" i="1" s="1"/>
  <c r="C694" i="1"/>
  <c r="B694" i="1" s="1"/>
  <c r="C695" i="1"/>
  <c r="B695" i="1" s="1"/>
  <c r="C696" i="1"/>
  <c r="B696" i="1" s="1"/>
  <c r="C697" i="1"/>
  <c r="B697" i="1" s="1"/>
  <c r="C698" i="1"/>
  <c r="B698" i="1" s="1"/>
  <c r="C699" i="1"/>
  <c r="B699" i="1" s="1"/>
  <c r="C700" i="1"/>
  <c r="B700" i="1" s="1"/>
  <c r="C701" i="1"/>
  <c r="B701" i="1" s="1"/>
  <c r="C702" i="1"/>
  <c r="B702" i="1" s="1"/>
  <c r="C703" i="1"/>
  <c r="B703" i="1" s="1"/>
  <c r="C704" i="1"/>
  <c r="B704" i="1" s="1"/>
  <c r="C705" i="1"/>
  <c r="B705" i="1" s="1"/>
  <c r="C706" i="1"/>
  <c r="B706" i="1" s="1"/>
  <c r="C707" i="1"/>
  <c r="B707" i="1" s="1"/>
  <c r="C708" i="1"/>
  <c r="B708" i="1" s="1"/>
  <c r="C709" i="1"/>
  <c r="B709" i="1" s="1"/>
  <c r="C710" i="1"/>
  <c r="B710" i="1" s="1"/>
  <c r="C711" i="1"/>
  <c r="B711" i="1" s="1"/>
  <c r="C712" i="1"/>
  <c r="B712" i="1" s="1"/>
  <c r="C713" i="1"/>
  <c r="B713" i="1" s="1"/>
  <c r="C714" i="1"/>
  <c r="B714" i="1" s="1"/>
  <c r="C715" i="1"/>
  <c r="B715" i="1" s="1"/>
  <c r="C716" i="1"/>
  <c r="B716" i="1" s="1"/>
  <c r="C717" i="1"/>
  <c r="B717" i="1" s="1"/>
  <c r="C718" i="1"/>
  <c r="B718" i="1" s="1"/>
  <c r="C719" i="1"/>
  <c r="B719" i="1" s="1"/>
  <c r="C720" i="1"/>
  <c r="B720" i="1" s="1"/>
  <c r="C721" i="1"/>
  <c r="B721" i="1" s="1"/>
  <c r="C722" i="1"/>
  <c r="B722" i="1" s="1"/>
  <c r="C723" i="1"/>
  <c r="B723" i="1" s="1"/>
  <c r="C724" i="1"/>
  <c r="B724" i="1" s="1"/>
  <c r="C725" i="1"/>
  <c r="B725" i="1" s="1"/>
  <c r="C726" i="1"/>
  <c r="B726" i="1" s="1"/>
  <c r="C727" i="1"/>
  <c r="B727" i="1" s="1"/>
  <c r="C728" i="1"/>
  <c r="B728" i="1" s="1"/>
  <c r="C729" i="1"/>
  <c r="B729" i="1" s="1"/>
  <c r="C730" i="1"/>
  <c r="B730" i="1" s="1"/>
  <c r="C731" i="1"/>
  <c r="B731" i="1" s="1"/>
  <c r="C732" i="1"/>
  <c r="B732" i="1" s="1"/>
  <c r="C733" i="1"/>
  <c r="B733" i="1" s="1"/>
  <c r="C734" i="1"/>
  <c r="B734" i="1" s="1"/>
  <c r="C735" i="1"/>
  <c r="B735" i="1" s="1"/>
  <c r="C736" i="1"/>
  <c r="B736" i="1" s="1"/>
  <c r="C737" i="1"/>
  <c r="B737" i="1" s="1"/>
  <c r="C738" i="1"/>
  <c r="B738" i="1" s="1"/>
  <c r="C739" i="1"/>
  <c r="B739" i="1" s="1"/>
  <c r="C740" i="1"/>
  <c r="B740" i="1" s="1"/>
  <c r="C741" i="1"/>
  <c r="B741" i="1" s="1"/>
  <c r="C742" i="1"/>
  <c r="B742" i="1" s="1"/>
  <c r="C743" i="1"/>
  <c r="B743" i="1" s="1"/>
  <c r="C744" i="1"/>
  <c r="B744" i="1" s="1"/>
  <c r="C745" i="1"/>
  <c r="B745" i="1" s="1"/>
  <c r="C746" i="1"/>
  <c r="B746" i="1" s="1"/>
  <c r="C747" i="1"/>
  <c r="B747" i="1" s="1"/>
  <c r="C748" i="1"/>
  <c r="B748" i="1" s="1"/>
  <c r="C749" i="1"/>
  <c r="B749" i="1" s="1"/>
  <c r="C750" i="1"/>
  <c r="B750" i="1" s="1"/>
  <c r="C751" i="1"/>
  <c r="B751" i="1" s="1"/>
  <c r="C752" i="1"/>
  <c r="B752" i="1" s="1"/>
  <c r="C753" i="1"/>
  <c r="B753" i="1" s="1"/>
  <c r="C754" i="1"/>
  <c r="B754" i="1" s="1"/>
  <c r="C755" i="1"/>
  <c r="B755" i="1" s="1"/>
  <c r="C756" i="1"/>
  <c r="B756" i="1" s="1"/>
  <c r="C757" i="1"/>
  <c r="B757" i="1" s="1"/>
  <c r="C758" i="1"/>
  <c r="B758" i="1" s="1"/>
  <c r="C759" i="1"/>
  <c r="B759" i="1" s="1"/>
  <c r="C760" i="1"/>
  <c r="B760" i="1" s="1"/>
  <c r="C761" i="1"/>
  <c r="B761" i="1" s="1"/>
  <c r="C762" i="1"/>
  <c r="B762" i="1" s="1"/>
  <c r="C763" i="1"/>
  <c r="B763" i="1" s="1"/>
  <c r="C764" i="1"/>
  <c r="B764" i="1" s="1"/>
  <c r="C765" i="1"/>
  <c r="B765" i="1" s="1"/>
  <c r="C766" i="1"/>
  <c r="B766" i="1" s="1"/>
  <c r="C767" i="1"/>
  <c r="B767" i="1" s="1"/>
  <c r="C768" i="1"/>
  <c r="B768" i="1" s="1"/>
  <c r="C769" i="1"/>
  <c r="B769" i="1" s="1"/>
  <c r="C770" i="1"/>
  <c r="B770" i="1" s="1"/>
  <c r="C771" i="1"/>
  <c r="B771" i="1" s="1"/>
  <c r="C772" i="1"/>
  <c r="B772" i="1" s="1"/>
  <c r="C773" i="1"/>
  <c r="B773" i="1" s="1"/>
  <c r="C774" i="1"/>
  <c r="B774" i="1" s="1"/>
  <c r="C775" i="1"/>
  <c r="B775" i="1" s="1"/>
  <c r="C776" i="1"/>
  <c r="B776" i="1" s="1"/>
  <c r="C777" i="1"/>
  <c r="B777" i="1" s="1"/>
  <c r="C778" i="1"/>
  <c r="B778" i="1" s="1"/>
  <c r="C779" i="1"/>
  <c r="B779" i="1" s="1"/>
  <c r="C780" i="1"/>
  <c r="B780" i="1" s="1"/>
  <c r="C781" i="1"/>
  <c r="B781" i="1" s="1"/>
  <c r="C782" i="1"/>
  <c r="B782" i="1" s="1"/>
  <c r="C783" i="1"/>
  <c r="B783" i="1" s="1"/>
  <c r="C784" i="1"/>
  <c r="B784" i="1" s="1"/>
  <c r="C785" i="1"/>
  <c r="B785" i="1" s="1"/>
  <c r="C786" i="1"/>
  <c r="B786" i="1" s="1"/>
  <c r="C787" i="1"/>
  <c r="B787" i="1" s="1"/>
  <c r="C788" i="1"/>
  <c r="B788" i="1" s="1"/>
  <c r="C789" i="1"/>
  <c r="B789" i="1" s="1"/>
  <c r="C790" i="1"/>
  <c r="B790" i="1" s="1"/>
  <c r="C791" i="1"/>
  <c r="B791" i="1" s="1"/>
  <c r="C792" i="1"/>
  <c r="B792" i="1" s="1"/>
  <c r="C793" i="1"/>
  <c r="B793" i="1" s="1"/>
  <c r="C794" i="1"/>
  <c r="B794" i="1" s="1"/>
  <c r="C795" i="1"/>
  <c r="B795" i="1" s="1"/>
  <c r="C796" i="1"/>
  <c r="B796" i="1" s="1"/>
  <c r="C797" i="1"/>
  <c r="B797" i="1" s="1"/>
  <c r="C798" i="1"/>
  <c r="B798" i="1" s="1"/>
  <c r="C799" i="1"/>
  <c r="B799" i="1" s="1"/>
  <c r="C800" i="1"/>
  <c r="B800" i="1" s="1"/>
  <c r="C801" i="1"/>
  <c r="B801" i="1" s="1"/>
  <c r="C802" i="1"/>
  <c r="B802" i="1" s="1"/>
  <c r="C803" i="1"/>
  <c r="B803" i="1" s="1"/>
  <c r="C804" i="1"/>
  <c r="B804" i="1" s="1"/>
  <c r="C805" i="1"/>
  <c r="B805" i="1" s="1"/>
  <c r="C806" i="1"/>
  <c r="B806" i="1" s="1"/>
  <c r="C807" i="1"/>
  <c r="B807" i="1" s="1"/>
  <c r="C808" i="1"/>
  <c r="B808" i="1" s="1"/>
  <c r="C809" i="1"/>
  <c r="B809" i="1" s="1"/>
  <c r="C810" i="1"/>
  <c r="B810" i="1" s="1"/>
  <c r="C811" i="1"/>
  <c r="B811" i="1" s="1"/>
  <c r="C812" i="1"/>
  <c r="B812" i="1" s="1"/>
  <c r="C813" i="1"/>
  <c r="B813" i="1" s="1"/>
  <c r="C814" i="1"/>
  <c r="B814" i="1" s="1"/>
  <c r="C815" i="1"/>
  <c r="B815" i="1" s="1"/>
  <c r="C816" i="1"/>
  <c r="B816" i="1" s="1"/>
  <c r="C817" i="1"/>
  <c r="B817" i="1" s="1"/>
  <c r="C818" i="1"/>
  <c r="B818" i="1" s="1"/>
  <c r="C819" i="1"/>
  <c r="B819" i="1" s="1"/>
  <c r="C820" i="1"/>
  <c r="B820" i="1" s="1"/>
  <c r="C821" i="1"/>
  <c r="B821" i="1" s="1"/>
  <c r="C822" i="1"/>
  <c r="B822" i="1" s="1"/>
  <c r="C823" i="1"/>
  <c r="B823" i="1" s="1"/>
  <c r="C824" i="1"/>
  <c r="B824" i="1" s="1"/>
  <c r="C825" i="1"/>
  <c r="B825" i="1" s="1"/>
  <c r="C826" i="1"/>
  <c r="B826" i="1" s="1"/>
  <c r="C827" i="1"/>
  <c r="B827" i="1" s="1"/>
  <c r="C828" i="1"/>
  <c r="B828" i="1" s="1"/>
  <c r="C829" i="1"/>
  <c r="B829" i="1" s="1"/>
  <c r="C830" i="1"/>
  <c r="B830" i="1" s="1"/>
  <c r="C831" i="1"/>
  <c r="B831" i="1" s="1"/>
  <c r="C832" i="1"/>
  <c r="B832" i="1" s="1"/>
  <c r="C833" i="1"/>
  <c r="B833" i="1" s="1"/>
  <c r="C834" i="1"/>
  <c r="B834" i="1" s="1"/>
  <c r="C835" i="1"/>
  <c r="B835" i="1" s="1"/>
  <c r="C836" i="1"/>
  <c r="B836" i="1" s="1"/>
  <c r="C837" i="1"/>
  <c r="B837" i="1" s="1"/>
  <c r="C838" i="1"/>
  <c r="B838" i="1" s="1"/>
  <c r="C839" i="1"/>
  <c r="B839" i="1" s="1"/>
  <c r="C840" i="1"/>
  <c r="B840" i="1" s="1"/>
  <c r="C841" i="1"/>
  <c r="B841" i="1" s="1"/>
  <c r="C842" i="1"/>
  <c r="B842" i="1" s="1"/>
  <c r="C843" i="1"/>
  <c r="B843" i="1" s="1"/>
  <c r="C844" i="1"/>
  <c r="B844" i="1" s="1"/>
  <c r="C845" i="1"/>
  <c r="B845" i="1" s="1"/>
  <c r="C846" i="1"/>
  <c r="B846" i="1" s="1"/>
  <c r="C847" i="1"/>
  <c r="B847" i="1" s="1"/>
  <c r="C848" i="1"/>
  <c r="B848" i="1" s="1"/>
  <c r="C849" i="1"/>
  <c r="B849" i="1" s="1"/>
  <c r="C850" i="1"/>
  <c r="B850" i="1" s="1"/>
  <c r="C851" i="1"/>
  <c r="B851" i="1" s="1"/>
  <c r="C852" i="1"/>
  <c r="B852" i="1" s="1"/>
  <c r="C853" i="1"/>
  <c r="B853" i="1" s="1"/>
  <c r="C854" i="1"/>
  <c r="B854" i="1" s="1"/>
  <c r="C855" i="1"/>
  <c r="B855" i="1" s="1"/>
  <c r="C856" i="1"/>
  <c r="B856" i="1" s="1"/>
  <c r="C857" i="1"/>
  <c r="B857" i="1" s="1"/>
  <c r="C858" i="1"/>
  <c r="B858" i="1" s="1"/>
  <c r="C859" i="1"/>
  <c r="B859" i="1" s="1"/>
  <c r="C860" i="1"/>
  <c r="B860" i="1" s="1"/>
  <c r="C861" i="1"/>
  <c r="B861" i="1" s="1"/>
  <c r="C862" i="1"/>
  <c r="B862" i="1" s="1"/>
  <c r="C863" i="1"/>
  <c r="B863" i="1" s="1"/>
  <c r="C864" i="1"/>
  <c r="B864" i="1" s="1"/>
  <c r="C865" i="1"/>
  <c r="B865" i="1" s="1"/>
  <c r="C866" i="1"/>
  <c r="B866" i="1" s="1"/>
  <c r="C867" i="1"/>
  <c r="B867" i="1" s="1"/>
  <c r="C868" i="1"/>
  <c r="B868" i="1" s="1"/>
  <c r="C869" i="1"/>
  <c r="B869" i="1" s="1"/>
  <c r="C870" i="1"/>
  <c r="B870" i="1" s="1"/>
  <c r="C871" i="1"/>
  <c r="B871" i="1" s="1"/>
  <c r="C872" i="1"/>
  <c r="B872" i="1" s="1"/>
  <c r="C873" i="1"/>
  <c r="B873" i="1" s="1"/>
  <c r="C874" i="1"/>
  <c r="B874" i="1" s="1"/>
  <c r="C875" i="1"/>
  <c r="B875" i="1" s="1"/>
  <c r="C876" i="1"/>
  <c r="B876" i="1" s="1"/>
  <c r="C877" i="1"/>
  <c r="B877" i="1" s="1"/>
  <c r="C878" i="1"/>
  <c r="B878" i="1" s="1"/>
  <c r="C879" i="1"/>
  <c r="B879" i="1" s="1"/>
  <c r="C880" i="1"/>
  <c r="B880" i="1" s="1"/>
  <c r="C881" i="1"/>
  <c r="B881" i="1" s="1"/>
  <c r="C882" i="1"/>
  <c r="B882" i="1" s="1"/>
  <c r="C883" i="1"/>
  <c r="B883" i="1" s="1"/>
  <c r="C884" i="1"/>
  <c r="B884" i="1" s="1"/>
  <c r="C885" i="1"/>
  <c r="B885" i="1" s="1"/>
  <c r="C886" i="1"/>
  <c r="B886" i="1" s="1"/>
  <c r="C887" i="1"/>
  <c r="B887" i="1" s="1"/>
  <c r="C888" i="1"/>
  <c r="B888" i="1" s="1"/>
  <c r="C889" i="1"/>
  <c r="B889" i="1" s="1"/>
  <c r="C890" i="1"/>
  <c r="B890" i="1" s="1"/>
  <c r="C891" i="1"/>
  <c r="B891" i="1" s="1"/>
  <c r="C892" i="1"/>
  <c r="B892" i="1" s="1"/>
  <c r="C893" i="1"/>
  <c r="B893" i="1" s="1"/>
  <c r="C894" i="1"/>
  <c r="B894" i="1" s="1"/>
  <c r="C895" i="1"/>
  <c r="B895" i="1" s="1"/>
  <c r="C896" i="1"/>
  <c r="B896" i="1" s="1"/>
  <c r="C897" i="1"/>
  <c r="B897" i="1" s="1"/>
  <c r="C898" i="1"/>
  <c r="B898" i="1" s="1"/>
  <c r="C899" i="1"/>
  <c r="B899" i="1" s="1"/>
  <c r="C900" i="1"/>
  <c r="B900" i="1" s="1"/>
  <c r="C901" i="1"/>
  <c r="B901" i="1" s="1"/>
  <c r="C122" i="1"/>
  <c r="B12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2" i="1"/>
</calcChain>
</file>

<file path=xl/sharedStrings.xml><?xml version="1.0" encoding="utf-8"?>
<sst xmlns="http://schemas.openxmlformats.org/spreadsheetml/2006/main" count="4932" uniqueCount="2921">
  <si>
    <t>Sample ID</t>
  </si>
  <si>
    <t>Condition</t>
  </si>
  <si>
    <t>GP</t>
  </si>
  <si>
    <t>Blur</t>
  </si>
  <si>
    <t>Cold</t>
  </si>
  <si>
    <t>Room</t>
  </si>
  <si>
    <t>STT mẫu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</si>
  <si>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</si>
  <si>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</si>
  <si>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</si>
  <si>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</si>
  <si>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</si>
  <si>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</si>
  <si>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</si>
  <si>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</si>
  <si>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</si>
  <si>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</si>
  <si>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</si>
  <si>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</si>
  <si>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</si>
  <si>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</si>
  <si>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03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</si>
  <si>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</si>
  <si>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</si>
  <si>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</si>
  <si>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</si>
  <si>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</si>
  <si>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</si>
  <si>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</si>
  <si>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</si>
  <si>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</si>
  <si>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</si>
  <si>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</si>
  <si>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</si>
  <si>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</si>
  <si>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</si>
  <si>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</si>
  <si>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C</t>
  </si>
  <si>
    <t>R</t>
  </si>
  <si>
    <t>EW (mm)</t>
  </si>
  <si>
    <t>Weight (g)</t>
  </si>
  <si>
    <t>Weight loss (%)</t>
  </si>
  <si>
    <t>Time (Day)</t>
  </si>
  <si>
    <t>Mark</t>
  </si>
  <si>
    <t>0.685 ± 0.06</t>
  </si>
  <si>
    <t>34.041 ± 0.812</t>
  </si>
  <si>
    <t>0.3564 ± 0.0334</t>
  </si>
  <si>
    <t>0.854 ± 0.051</t>
  </si>
  <si>
    <t>33.797 ± 1.949</t>
  </si>
  <si>
    <t>0.4496 ± 0.0509</t>
  </si>
  <si>
    <t>Ewvalue</t>
  </si>
  <si>
    <t>Gpvalue</t>
  </si>
  <si>
    <t>Blurvalue</t>
  </si>
  <si>
    <t>0.746 ± 0.117</t>
  </si>
  <si>
    <t>34.399 ± 1.037</t>
  </si>
  <si>
    <t>0.3845 ± 0.0614</t>
  </si>
  <si>
    <t>0.821 ± 0.090</t>
  </si>
  <si>
    <t>36.059 ± 2.178</t>
  </si>
  <si>
    <t xml:space="preserve">0.4048 ± 0.0518 </t>
  </si>
  <si>
    <t>0.954 ± 0.098</t>
  </si>
  <si>
    <t>34.773 ± 1.112</t>
  </si>
  <si>
    <t xml:space="preserve">0.4861 ± 0.0507 </t>
  </si>
  <si>
    <t>1.193 ± 0.059</t>
  </si>
  <si>
    <t>36.310 ± 1.216</t>
  </si>
  <si>
    <t>0.5816 ± 0.025</t>
  </si>
  <si>
    <t>21.118 ± 1.839</t>
  </si>
  <si>
    <t>0.720 ± 0.124</t>
  </si>
  <si>
    <t>0.6075 ± 0.1114</t>
  </si>
  <si>
    <t>0.928 ± 0.077</t>
  </si>
  <si>
    <t>26.194 ± 1.612</t>
  </si>
  <si>
    <t>0.6283 ± 0.0518</t>
  </si>
  <si>
    <t>0.970 ± 0.078</t>
  </si>
  <si>
    <t>29.117 ± 0.862</t>
  </si>
  <si>
    <t>0.5897 ± 0.0438</t>
  </si>
  <si>
    <t>0.6263 ± 0.0677</t>
  </si>
  <si>
    <t>1.031 ± 0.200</t>
  </si>
  <si>
    <t>30.735 ± 3.779</t>
  </si>
  <si>
    <t>0.6043 ± 0.1488</t>
  </si>
  <si>
    <t>31.299 ± 3.009</t>
  </si>
  <si>
    <t>1.078 ± 0.076</t>
  </si>
  <si>
    <t>0.6149 ± 0.0748</t>
  </si>
  <si>
    <t>31.229 ± 1.212</t>
  </si>
  <si>
    <t xml:space="preserve">1.026 ± 0.073 </t>
  </si>
  <si>
    <t>0.5816 ± 0.0395</t>
  </si>
  <si>
    <t>27.331 ± 1.382</t>
  </si>
  <si>
    <t>0.532 ± 0.031</t>
  </si>
  <si>
    <t>0.3456 ± 0.0313</t>
  </si>
  <si>
    <t>31.320 ± 1.999</t>
  </si>
  <si>
    <t>0.534 ± 0.057</t>
  </si>
  <si>
    <t>0.3039 ± 0.0477</t>
  </si>
  <si>
    <t>38.281 ± 3.192</t>
  </si>
  <si>
    <t>0.3471 ± 0.0579</t>
  </si>
  <si>
    <t>0.746 ± 0.111</t>
  </si>
  <si>
    <t>0.986 ± 0.22</t>
  </si>
  <si>
    <t>31.372 ± 2.171</t>
  </si>
  <si>
    <t>0.5554 ± 0.1163</t>
  </si>
  <si>
    <t>35.868 ± 1.177</t>
  </si>
  <si>
    <t>1.082 ± 0.107</t>
  </si>
  <si>
    <t>0.5349 ± 0.0621</t>
  </si>
  <si>
    <t>27.964 ± 2.041</t>
  </si>
  <si>
    <t>0.6265 ± 0.0633</t>
  </si>
  <si>
    <t>0.985 ± 0.062</t>
  </si>
  <si>
    <t>31.281 ± 1.681</t>
  </si>
  <si>
    <t>1.009 ± 0.059</t>
  </si>
  <si>
    <t>0.5722 ± 0.0423</t>
  </si>
  <si>
    <t>36.436 ± 2.070</t>
  </si>
  <si>
    <t>0.578 ± 0.062</t>
  </si>
  <si>
    <t>0.2814 ± 0.0345</t>
  </si>
  <si>
    <t>0.4201 ± 0.0301</t>
  </si>
  <si>
    <t>32.470 ± 1.588</t>
  </si>
  <si>
    <t>0.769 ± 0.049</t>
  </si>
  <si>
    <t>30.934 ± 3.093</t>
  </si>
  <si>
    <t>0.6387 ± 0.0673</t>
  </si>
  <si>
    <t>1.111 ± 0.110</t>
  </si>
  <si>
    <t>31.986 ± 1.673</t>
  </si>
  <si>
    <t>0.929 ± 0.075</t>
  </si>
  <si>
    <t>0.5147 ± 0.0397</t>
  </si>
  <si>
    <t>34.890 ± 0.935</t>
  </si>
  <si>
    <t>0.808 ± 0.043</t>
  </si>
  <si>
    <t>0.4100 ± 0.0155</t>
  </si>
  <si>
    <t>27.591 ± 2.914</t>
  </si>
  <si>
    <t>0.583 ± 0.072</t>
  </si>
  <si>
    <t>0.3761 ± 0.0495</t>
  </si>
  <si>
    <t>34.015 ± 1.607</t>
  </si>
  <si>
    <t>0.859 ± 0.051</t>
  </si>
  <si>
    <t xml:space="preserve">0.4472 ± 0.0203 </t>
  </si>
  <si>
    <t>30.537 ± 4.177</t>
  </si>
  <si>
    <t>0.4452 ± 0.0586</t>
  </si>
  <si>
    <t>0.762 ± 0.104</t>
  </si>
  <si>
    <t>32.011 ± 1.521</t>
  </si>
  <si>
    <t>1.162 ± 0.058</t>
  </si>
  <si>
    <t>0.6436 ± 0.0399</t>
  </si>
  <si>
    <t>33.299 ± 1.647</t>
  </si>
  <si>
    <t>0.5454 ± 0.0694</t>
  </si>
  <si>
    <t>1.022 ± 0.105</t>
  </si>
  <si>
    <t>1.152 ± 0.107</t>
  </si>
  <si>
    <t>33.509 ± 2.085</t>
  </si>
  <si>
    <t>0.6095 ± 0.0536</t>
  </si>
  <si>
    <t>32.782 ± 1.945</t>
  </si>
  <si>
    <t>1.160 ± 0.063</t>
  </si>
  <si>
    <t>0.6280 ± 0.0470</t>
  </si>
  <si>
    <t>0.6138 ± 0.0369</t>
  </si>
  <si>
    <t>32.301 ± 1.475</t>
  </si>
  <si>
    <t>1.118 ± 0.042</t>
  </si>
  <si>
    <t>33.194 ± 1.274</t>
  </si>
  <si>
    <t>0.752 ± 0.034</t>
  </si>
  <si>
    <t>0.4018 ± 0.0275</t>
  </si>
  <si>
    <t>34.023 ± 2.104</t>
  </si>
  <si>
    <t>0.933 ± 0.050</t>
  </si>
  <si>
    <t>0.4868 ± 0.0343</t>
  </si>
  <si>
    <t>36.977 ± 3.103</t>
  </si>
  <si>
    <t>1.000 ± 0.072</t>
  </si>
  <si>
    <t>0.4803 ± 0.0363</t>
  </si>
  <si>
    <t>0.5947 ± 0.0861</t>
  </si>
  <si>
    <t>26.925 ± 1.438</t>
  </si>
  <si>
    <t>0.901 ± 0.115</t>
  </si>
  <si>
    <t>1.032 ± 0.120</t>
  </si>
  <si>
    <t>31.578 ± 4.019</t>
  </si>
  <si>
    <t>0.5811 ± 0.0482</t>
  </si>
  <si>
    <t>34.006 ± 1.337</t>
  </si>
  <si>
    <t>0.5470 ± 0.0363</t>
  </si>
  <si>
    <t>1.051 ± 0.085</t>
  </si>
  <si>
    <t>31.508 ± 1.548</t>
  </si>
  <si>
    <t>0.995 ± 0.080</t>
  </si>
  <si>
    <t>0.5591 ± 0.0386</t>
  </si>
  <si>
    <t>33.362 ± 1.892</t>
  </si>
  <si>
    <t>0.999 ± 0.057</t>
  </si>
  <si>
    <t>0.5305 ± 0.0208</t>
  </si>
  <si>
    <t>25.055 ± 1.847</t>
  </si>
  <si>
    <t>0.642 ± 0.035</t>
  </si>
  <si>
    <t>0.4552 ± 0.0350</t>
  </si>
  <si>
    <t>32.023 ± 1.464</t>
  </si>
  <si>
    <t>0.4945 ± 0.0358</t>
  </si>
  <si>
    <t>0.893 ± 0.060</t>
  </si>
  <si>
    <t>33.036 ± 2.092</t>
  </si>
  <si>
    <t>1.159 ± 0.078</t>
  </si>
  <si>
    <t>0.6224 ± 0.0488</t>
  </si>
  <si>
    <t>30.490 ± 2.618</t>
  </si>
  <si>
    <t>0.3561 ± 0.0499</t>
  </si>
  <si>
    <t>0.608 ± 0.063</t>
  </si>
  <si>
    <t>32.949 ± 0.600</t>
  </si>
  <si>
    <t>0.3557 ± 0.0215</t>
  </si>
  <si>
    <t>0.662 ± 0.034</t>
  </si>
  <si>
    <t>22.736 ± 0.981</t>
  </si>
  <si>
    <t>0.707 ± 0.081</t>
  </si>
  <si>
    <t>0.5510 ± 0.0607</t>
  </si>
  <si>
    <t>33.998 ± 1.494</t>
  </si>
  <si>
    <t>0.4836 ± 0.0509</t>
  </si>
  <si>
    <t>0.926 ± 0.073</t>
  </si>
  <si>
    <t>32.652 ± 0.722</t>
  </si>
  <si>
    <t>0.5270 ± 0.0368</t>
  </si>
  <si>
    <t>0.972 ± 0.062</t>
  </si>
  <si>
    <t>33.942 ± 0.652</t>
  </si>
  <si>
    <t>0.649 ± 0.112</t>
  </si>
  <si>
    <t>0.3394 ± 0.0628</t>
  </si>
  <si>
    <t>31.434 ± 1.605</t>
  </si>
  <si>
    <t>1.230 ± 0.045</t>
  </si>
  <si>
    <t>0.6939 ± 0.0316</t>
  </si>
  <si>
    <t>32.271 ± 1.230</t>
  </si>
  <si>
    <t>0.4888 ± 0.0372</t>
  </si>
  <si>
    <t>0.891 ± 0.071</t>
  </si>
  <si>
    <t>33.591 ± 2.075</t>
  </si>
  <si>
    <t xml:space="preserve">0.5749 ± 0.0417 </t>
  </si>
  <si>
    <t>1.089 ± 0.072</t>
  </si>
  <si>
    <t>31.818 ± 3.142</t>
  </si>
  <si>
    <t>0.3126 ± 0.0398</t>
  </si>
  <si>
    <t>0.557 ± 0.051</t>
  </si>
  <si>
    <t>22.513 ± 1.545</t>
  </si>
  <si>
    <t>0.6357 ± 0.0395</t>
  </si>
  <si>
    <t>0.810 ± 0.09</t>
  </si>
  <si>
    <t>37.834 ± 1.681</t>
  </si>
  <si>
    <t>0.3809 ± 0.0312</t>
  </si>
  <si>
    <t>0.814 ± 0.072</t>
  </si>
  <si>
    <t>30.203 ± 1.917</t>
  </si>
  <si>
    <t>0.981 ± 0.082</t>
  </si>
  <si>
    <t>0.5766 ± 0.0579</t>
  </si>
  <si>
    <t>36.584 ± 1.151</t>
  </si>
  <si>
    <t>0.771 ± 0.079</t>
  </si>
  <si>
    <t>0.3734 ± 0.0378</t>
  </si>
  <si>
    <t>32.849 ± 1.607</t>
  </si>
  <si>
    <t>0.5395 ± 0.0497</t>
  </si>
  <si>
    <t>1.000 ± 0.094</t>
  </si>
  <si>
    <t>1.042 ± 0.096</t>
  </si>
  <si>
    <t>29.522 ± 1.719</t>
  </si>
  <si>
    <t>25.241 ± 5.502</t>
  </si>
  <si>
    <t>0.601 ± 0.077</t>
  </si>
  <si>
    <t>0.4484 ± 0.1423</t>
  </si>
  <si>
    <t>32.082 ± 1.869</t>
  </si>
  <si>
    <t>0.5854 ± 0.0543</t>
  </si>
  <si>
    <t>1.057 ± 0.062</t>
  </si>
  <si>
    <t>28.530 ± 4.305</t>
  </si>
  <si>
    <t>0.689 ± 0.133</t>
  </si>
  <si>
    <t>0.4314 ± 0.0808</t>
  </si>
  <si>
    <t>32.662 ± 4.026</t>
  </si>
  <si>
    <t>0.4402 ± 0.0507</t>
  </si>
  <si>
    <t>0.806 ± 0.093</t>
  </si>
  <si>
    <t>29.644 ± 2.603</t>
  </si>
  <si>
    <t>0.5326 ± 0.0571</t>
  </si>
  <si>
    <t>0.889 ± 0.100</t>
  </si>
  <si>
    <t>31.316 ± 1.721</t>
  </si>
  <si>
    <t>0.2667 ± 0.0294</t>
  </si>
  <si>
    <t>0.470 ± 0.034</t>
  </si>
  <si>
    <t>30.261 ± 2.926</t>
  </si>
  <si>
    <t>1.092 ± 0.191</t>
  </si>
  <si>
    <t>0.6424 ± 0.1124</t>
  </si>
  <si>
    <t>34.001 ± 1.312</t>
  </si>
  <si>
    <t>1.003 ± 0.131</t>
  </si>
  <si>
    <t>0.5246 ± 0.0821</t>
  </si>
  <si>
    <t>25.573 ± 1.190</t>
  </si>
  <si>
    <t>0.741 ± 0.110</t>
  </si>
  <si>
    <t>0.5158 ± 0.0940</t>
  </si>
  <si>
    <t>27.772 ± 0.581</t>
  </si>
  <si>
    <t>0.954 ± 0.204</t>
  </si>
  <si>
    <t>0.6078 ± 0.1300</t>
  </si>
  <si>
    <t>32.028 ± 1.909</t>
  </si>
  <si>
    <t>0.381 ± 0.030</t>
  </si>
  <si>
    <t>0.2117 ± 0.0252</t>
  </si>
  <si>
    <t>1.112 ± 0.088</t>
  </si>
  <si>
    <t>29.645 ± 1.982</t>
  </si>
  <si>
    <t>0.6649 ± 0.0458</t>
  </si>
  <si>
    <t>30.817 ± 2.264</t>
  </si>
  <si>
    <t>0.570 ± 0.077</t>
  </si>
  <si>
    <t>0.3299 ± 0.0568</t>
  </si>
  <si>
    <t>28.939 ± 1.332</t>
  </si>
  <si>
    <t>0.2933 ± 0.0294</t>
  </si>
  <si>
    <t>0.478 ± 0.033</t>
  </si>
  <si>
    <t>1.024 ± 0.078</t>
  </si>
  <si>
    <t>30.768 ± 2.985</t>
  </si>
  <si>
    <t>0.5985 ± 0.1129</t>
  </si>
  <si>
    <t>31.520 ± 1.797</t>
  </si>
  <si>
    <t>0.4646 ± 0.0747</t>
  </si>
  <si>
    <t>0.823 ± 0.112</t>
  </si>
  <si>
    <t>34.152 ± 2.440</t>
  </si>
  <si>
    <t>0.2516 ± 0.0440</t>
  </si>
  <si>
    <t>0.480 ± 0.052</t>
  </si>
  <si>
    <t>0.5353 ± 0.0268</t>
  </si>
  <si>
    <t>34.811 ± 1.045</t>
  </si>
  <si>
    <t>1.053 ± 0.070</t>
  </si>
  <si>
    <t>0.919 ± 0.197</t>
  </si>
  <si>
    <t>31.883 ± 1.076</t>
  </si>
  <si>
    <t>0.5116 ± 0.1148</t>
  </si>
  <si>
    <t>0.5846 ± 0.1107</t>
  </si>
  <si>
    <t>29.624 ± 5.442</t>
  </si>
  <si>
    <t>0.960 ± 0.168</t>
  </si>
  <si>
    <t>0.556 ± 0.056</t>
  </si>
  <si>
    <t>31.735 ± 2.815</t>
  </si>
  <si>
    <t>0.3125 ± 0.0433</t>
  </si>
  <si>
    <t>0.4746 ± 0.0618</t>
  </si>
  <si>
    <t>32.807 ± 1.319</t>
  </si>
  <si>
    <t>0.877 ± 0.097</t>
  </si>
  <si>
    <t>0.5803 ± 0.0766</t>
  </si>
  <si>
    <t>34.688 ± 1.100</t>
  </si>
  <si>
    <t>1.137 ± 0.155</t>
  </si>
  <si>
    <t>1.013 ± 0.129</t>
  </si>
  <si>
    <t>31.800 ± 1.755</t>
  </si>
  <si>
    <t>0.5631 ± 0.0589</t>
  </si>
  <si>
    <t>0.3761 ± 0.0577</t>
  </si>
  <si>
    <t>30.911 ± 2.431</t>
  </si>
  <si>
    <t>0.651 ± 0.069</t>
  </si>
  <si>
    <t>0.636 ± 0.053</t>
  </si>
  <si>
    <t>27.430 ± 3.613</t>
  </si>
  <si>
    <t>0.4161 ± 0.0561</t>
  </si>
  <si>
    <t>26.589 ± 1.428</t>
  </si>
  <si>
    <t>0.724 ± 0.073</t>
  </si>
  <si>
    <t>0.4843 ± 0.0645</t>
  </si>
  <si>
    <t>0.874 ± 0.102</t>
  </si>
  <si>
    <t>27.389 ± 3.387</t>
  </si>
  <si>
    <t>0.5705 ± 0.0819</t>
  </si>
  <si>
    <t>0.611 ± 0.141</t>
  </si>
  <si>
    <t>27.741 ± 3.069</t>
  </si>
  <si>
    <t>0.3933 ± 0.0871</t>
  </si>
  <si>
    <t>33.367 ± 0.988</t>
  </si>
  <si>
    <t>1.106 ± 0.070</t>
  </si>
  <si>
    <t>0.5868 ± 0.0376</t>
  </si>
  <si>
    <t>25.994 ± 2.215</t>
  </si>
  <si>
    <t>0.920 ± 0.135</t>
  </si>
  <si>
    <t>0.6319 ± 0.1139</t>
  </si>
  <si>
    <t>20.099 ± 0.849</t>
  </si>
  <si>
    <t>0.734 ± 0.061</t>
  </si>
  <si>
    <t>0.6481 ± 0.0635</t>
  </si>
  <si>
    <t>0.6226 ± 0.1407</t>
  </si>
  <si>
    <t>28.064 ± 1.346</t>
  </si>
  <si>
    <t>0.986 ± 0.226</t>
  </si>
  <si>
    <t>0.767 ± 0.075</t>
  </si>
  <si>
    <t>29.171 ± 0.480</t>
  </si>
  <si>
    <t>0.4653 ± 0.0458</t>
  </si>
  <si>
    <t>33.651 ± 1.972</t>
  </si>
  <si>
    <t>1.091 ± 0.190</t>
  </si>
  <si>
    <t>0.5779 ± 0.1163</t>
  </si>
  <si>
    <t>34.504 ± 0.427</t>
  </si>
  <si>
    <t>0.894 ± 0.094</t>
  </si>
  <si>
    <t xml:space="preserve">0.4586 ± 0.0481 </t>
  </si>
  <si>
    <t>0.5088 ± 0.0656</t>
  </si>
  <si>
    <t>31.160 ± 2.004</t>
  </si>
  <si>
    <t>0.891 ± 0.079</t>
  </si>
  <si>
    <t>0.6451 ± 0.0479</t>
  </si>
  <si>
    <t>29.983 ± 1.166</t>
  </si>
  <si>
    <t>1.091 ± 0.074</t>
  </si>
  <si>
    <t>0.909 ± 0.085</t>
  </si>
  <si>
    <t>35.395 ± 3.351</t>
  </si>
  <si>
    <t>0.4554 ± 0.0307</t>
  </si>
  <si>
    <t>0.519 ± 0.099</t>
  </si>
  <si>
    <t>31.671 ± 1.424</t>
  </si>
  <si>
    <t>0.2905 ± 0.0563</t>
  </si>
  <si>
    <t>0.2865 ± 0.0268</t>
  </si>
  <si>
    <t>33.010 ± 1.631</t>
  </si>
  <si>
    <t>0.532 ± 0.032</t>
  </si>
  <si>
    <t>0.5700 ± 0.0500</t>
  </si>
  <si>
    <t>29.915 ± 1.978</t>
  </si>
  <si>
    <t>0.960 ± 0.058</t>
  </si>
  <si>
    <t>30.349 ± 3.302</t>
  </si>
  <si>
    <t>0.793 ± 0.116</t>
  </si>
  <si>
    <t>0.4635 ± 0.0536</t>
  </si>
  <si>
    <t>33.565 ± 1.475</t>
  </si>
  <si>
    <t>1.077 ± 0.098</t>
  </si>
  <si>
    <t>0.5701 ± 0.0713</t>
  </si>
  <si>
    <t>32.339 ± 0.494</t>
  </si>
  <si>
    <t>0.893 ± 0.120</t>
  </si>
  <si>
    <t>0.4885 ± 0.0592</t>
  </si>
  <si>
    <t>0.837 ± 0.080</t>
  </si>
  <si>
    <t>28.280 ± 1.522</t>
  </si>
  <si>
    <t>0.5248 ± 0.0549</t>
  </si>
  <si>
    <t>1.031 ± 0.241</t>
  </si>
  <si>
    <t>33.264 ± 2.685</t>
  </si>
  <si>
    <t>0.5514 ± 0.1369</t>
  </si>
  <si>
    <t>1.100 ± 0.085</t>
  </si>
  <si>
    <t>34.098 ± 0.539</t>
  </si>
  <si>
    <t>0.5713 ± 0.0440</t>
  </si>
  <si>
    <t>34.441 ± 1.648</t>
  </si>
  <si>
    <t>0.860 ± 0.078</t>
  </si>
  <si>
    <t>0.4421 ± 0.0327</t>
  </si>
  <si>
    <t>0.837 ± 0.061</t>
  </si>
  <si>
    <t>34.077 ± 1.605</t>
  </si>
  <si>
    <t>0.4346 ± 0.0150</t>
  </si>
  <si>
    <t>31.664 ± 2.085</t>
  </si>
  <si>
    <t>0.872 ± 0.093</t>
  </si>
  <si>
    <t>0.4878 ± 0.0454</t>
  </si>
  <si>
    <t>32.262 ± 0.952</t>
  </si>
  <si>
    <t xml:space="preserve">0.664 ± 0.064 </t>
  </si>
  <si>
    <t>0.3645 ± 0.0362</t>
  </si>
  <si>
    <t>0.436 ± 0.065</t>
  </si>
  <si>
    <t>31.463 ± 1.159</t>
  </si>
  <si>
    <t>0.2458 ± 0.04</t>
  </si>
  <si>
    <t>0.944 ± 0.110</t>
  </si>
  <si>
    <t>30.894 ± 2.948</t>
  </si>
  <si>
    <t>0.5433 ± 0.0608</t>
  </si>
  <si>
    <t>0.719 ± 0.108</t>
  </si>
  <si>
    <t>31.829 ± 2.324</t>
  </si>
  <si>
    <t>0.4035 ± 0.0782</t>
  </si>
  <si>
    <t>0.669 ± 0.103</t>
  </si>
  <si>
    <t>36.267 ± 2.431</t>
  </si>
  <si>
    <t>0.3282 ± 0.0568</t>
  </si>
  <si>
    <t>29.441 ± 2.770</t>
  </si>
  <si>
    <t>1.021 ± 0.169</t>
  </si>
  <si>
    <t>0.6229 ± 0.1395</t>
  </si>
  <si>
    <t>0.745 ± 0.059</t>
  </si>
  <si>
    <t>23.941 ± 2.349</t>
  </si>
  <si>
    <t>0.5542 ± 0.06</t>
  </si>
  <si>
    <t>33.492 ± 2.742</t>
  </si>
  <si>
    <t>1.098 ± 0.088</t>
  </si>
  <si>
    <t xml:space="preserve">0.5816 ± 0.0433 </t>
  </si>
  <si>
    <t>0.596 ± 0.075</t>
  </si>
  <si>
    <t>26.362 ± 1.318</t>
  </si>
  <si>
    <t>31.096 ± 3.109</t>
  </si>
  <si>
    <t>0.672 ± 0.045</t>
  </si>
  <si>
    <t>0.3852 ± 0.0377</t>
  </si>
  <si>
    <t>0.873 ± 0.072</t>
  </si>
  <si>
    <t>27.992 ± 1.908</t>
  </si>
  <si>
    <t>0.5527 ± 0.0365</t>
  </si>
  <si>
    <t>0.702 ± 0.091</t>
  </si>
  <si>
    <t>28.108 ± 2.448</t>
  </si>
  <si>
    <t>0.4480 ± 0.0850</t>
  </si>
  <si>
    <t>0.683 ± 0.085</t>
  </si>
  <si>
    <t>31.371 ± 1.482</t>
  </si>
  <si>
    <t>0.3871 ± 0.0596</t>
  </si>
  <si>
    <t>26.175 ± 0.856</t>
  </si>
  <si>
    <t>0.4599 ± 0.0872</t>
  </si>
  <si>
    <t>0.678 ± 0.112</t>
  </si>
  <si>
    <t>22.664 ± 1.283</t>
  </si>
  <si>
    <t>0.7088 ± 0.0678</t>
  </si>
  <si>
    <t>0.904 ± 0.054</t>
  </si>
  <si>
    <t>0.651 ± 0.157</t>
  </si>
  <si>
    <t>29.794 ± 1.690</t>
  </si>
  <si>
    <t>0.3889 ± 0.0989</t>
  </si>
  <si>
    <t>0.811 ± 0.277</t>
  </si>
  <si>
    <t>24.898 ± 2.630</t>
  </si>
  <si>
    <t>0.5996 ± 0.2523</t>
  </si>
  <si>
    <t>0.628 ± 0.168</t>
  </si>
  <si>
    <t>30.301 ± 1.657</t>
  </si>
  <si>
    <t>0.3681 ± 0.0959</t>
  </si>
  <si>
    <t>29.698 ± 3.798</t>
  </si>
  <si>
    <t>0.871 ± 0.117</t>
  </si>
  <si>
    <t>0.5206 ± 0.0463</t>
  </si>
  <si>
    <t>1.054 ± 0.115</t>
  </si>
  <si>
    <t>21.742 ± 1.533</t>
  </si>
  <si>
    <t>0.8639 ± 0.1270</t>
  </si>
  <si>
    <t>0.869 ± 0.057</t>
  </si>
  <si>
    <t>30.947 ± 1.614</t>
  </si>
  <si>
    <t>0.4981 ± 0.0423</t>
  </si>
  <si>
    <t>27.879 ± 1.766</t>
  </si>
  <si>
    <t>0.859 ± 0.056</t>
  </si>
  <si>
    <t>0.5483 ± 0.0625</t>
  </si>
  <si>
    <t xml:space="preserve">0.766 ± 0.079 </t>
  </si>
  <si>
    <t>30.769 ± 2.072</t>
  </si>
  <si>
    <t>0.4427 ± 0.0556</t>
  </si>
  <si>
    <t>0.782 ± 0.096</t>
  </si>
  <si>
    <t>34.101 ± 1.886</t>
  </si>
  <si>
    <t>0.4071 ± 0.0528</t>
  </si>
  <si>
    <t>1.232 ± 0.088</t>
  </si>
  <si>
    <t>39.244 ± 1.217</t>
  </si>
  <si>
    <t>0.5555 ± 0.0369</t>
  </si>
  <si>
    <t>0.737 ± 0.067</t>
  </si>
  <si>
    <t>31.326 ± 0.836</t>
  </si>
  <si>
    <t>0.4157 ± 0.0306</t>
  </si>
  <si>
    <t>0.835 ± 0.098</t>
  </si>
  <si>
    <t>32.306 ± 2.442</t>
  </si>
  <si>
    <t>0.4566 ± 0.0329</t>
  </si>
  <si>
    <t>0.618 ± 0.108</t>
  </si>
  <si>
    <t>35.124 ± 1.403</t>
  </si>
  <si>
    <t>0.3114 ± 0.0537</t>
  </si>
  <si>
    <t>26.490 ± 2.622</t>
  </si>
  <si>
    <t>0.7527 ± 0.1297</t>
  </si>
  <si>
    <t>1.115 ± 0.140</t>
  </si>
  <si>
    <t>1.083 ± 0.081</t>
  </si>
  <si>
    <t>29.998 ± 2.075</t>
  </si>
  <si>
    <t>0.6418 ± 0.0620</t>
  </si>
  <si>
    <t>0.852 ± 0.232</t>
  </si>
  <si>
    <t>30.051 ± 2.140</t>
  </si>
  <si>
    <t>0.5043 ± 0.1428</t>
  </si>
  <si>
    <t>0.798 ± 0.312</t>
  </si>
  <si>
    <t>27.806 ± 3.704</t>
  </si>
  <si>
    <t>0.5323 ± 0.2442</t>
  </si>
  <si>
    <t>0.780 ± 0.073</t>
  </si>
  <si>
    <t>22.877 ± 2.296</t>
  </si>
  <si>
    <t>0.6067 ± 0.0650</t>
  </si>
  <si>
    <t>0.620 ± 0.045</t>
  </si>
  <si>
    <t>31.226 ± 3.391</t>
  </si>
  <si>
    <t>0.3543 ± 0.0374</t>
  </si>
  <si>
    <t>0.750 ± 0.331</t>
  </si>
  <si>
    <t>31.630 ± 3.752</t>
  </si>
  <si>
    <t>0.4426 ± 0.2338</t>
  </si>
  <si>
    <t>0.889 ± 0.119</t>
  </si>
  <si>
    <t>26.585 ± 2.746</t>
  </si>
  <si>
    <t>0.5936 ± 0.0745</t>
  </si>
  <si>
    <t>0.692 ± 0.316</t>
  </si>
  <si>
    <t>29.855 ± 2.095</t>
  </si>
  <si>
    <t>0.4218 ± 0.2201</t>
  </si>
  <si>
    <t>1.089 ± 0.110</t>
  </si>
  <si>
    <t>33.104 ± 2.054</t>
  </si>
  <si>
    <t>0.5835 ± 0.0615</t>
  </si>
  <si>
    <t>0.677 ± 0.058</t>
  </si>
  <si>
    <t>29.996 ± 2.201</t>
  </si>
  <si>
    <t>0.4013 ± 0.0441</t>
  </si>
  <si>
    <t>0.704 ± 0.043</t>
  </si>
  <si>
    <t>31.586 ± 2.687</t>
  </si>
  <si>
    <t>0.3970 ± 0.0363</t>
  </si>
  <si>
    <t>0.471 ± 0.052</t>
  </si>
  <si>
    <t>32.671 ± 3.384</t>
  </si>
  <si>
    <t>0.2600 ± 0.0530</t>
  </si>
  <si>
    <t>0.849 ± 0.129</t>
  </si>
  <si>
    <t>27.065 ± 2.491</t>
  </si>
  <si>
    <t xml:space="preserve">0.5549 ± 0.0679 </t>
  </si>
  <si>
    <t>0.588 ± 0.040</t>
  </si>
  <si>
    <t>24.617 ± 2.556</t>
  </si>
  <si>
    <t>0.4270 ± 0.0536</t>
  </si>
  <si>
    <t>0.605 ± 0.071</t>
  </si>
  <si>
    <t>19.096 ± 1.414</t>
  </si>
  <si>
    <t>0.5642 ± 0.0821</t>
  </si>
  <si>
    <t>0.969 ± 0.227</t>
  </si>
  <si>
    <t>29.257 ± 4.271</t>
  </si>
  <si>
    <t>0.6106 ± 0.1986</t>
  </si>
  <si>
    <t>1.093 ± 0.100</t>
  </si>
  <si>
    <t>33.863 ± 1.284</t>
  </si>
  <si>
    <t>0.5732 ± 0.0676</t>
  </si>
  <si>
    <t>0.583 ± 0.112</t>
  </si>
  <si>
    <t>29.626 ± 2.891</t>
  </si>
  <si>
    <t>0.3493 ± 0.0620</t>
  </si>
  <si>
    <t>1.357 ± 0.120</t>
  </si>
  <si>
    <t>31.090 ± 1.187</t>
  </si>
  <si>
    <t>0.7729 ± 0.0656</t>
  </si>
  <si>
    <t>0.951 ± 0.126</t>
  </si>
  <si>
    <t>28.929 ± 2.068</t>
  </si>
  <si>
    <t xml:space="preserve">0.5846 ± 0.0833 </t>
  </si>
  <si>
    <t>0.760 ± 0.067</t>
  </si>
  <si>
    <t>31.486 ± 1.889</t>
  </si>
  <si>
    <t>0.4281 ± 0.0398</t>
  </si>
  <si>
    <t>0.460 ± 0.055</t>
  </si>
  <si>
    <t>32.033 ± 2.347</t>
  </si>
  <si>
    <t>0.2556 ± 0.0338</t>
  </si>
  <si>
    <t>0.734 ± 0.112</t>
  </si>
  <si>
    <t>29.236 ± 2.089</t>
  </si>
  <si>
    <t xml:space="preserve">0.4489 ± 0.0867 </t>
  </si>
  <si>
    <t>0.968 ± 0.082</t>
  </si>
  <si>
    <t>30.398 ± 1.554</t>
  </si>
  <si>
    <t>0.5648 ± 0.0562</t>
  </si>
  <si>
    <t>1.032 ± 0.087</t>
  </si>
  <si>
    <t>27.838 ± 3.120</t>
  </si>
  <si>
    <t>0.6613 ± 0.0682</t>
  </si>
  <si>
    <t>0.934 ± 0.06</t>
  </si>
  <si>
    <t>32.009 ± 2.554</t>
  </si>
  <si>
    <t>0.5180 ± 0.0347</t>
  </si>
  <si>
    <t>0.645 ± 0.132</t>
  </si>
  <si>
    <t>35.514 ± 1.704</t>
  </si>
  <si>
    <t>0.3236 ± 0.0748</t>
  </si>
  <si>
    <t>0.517 ± 0.046</t>
  </si>
  <si>
    <t>30.554 ± 2.696</t>
  </si>
  <si>
    <t>0.3035 ± 0.0515</t>
  </si>
  <si>
    <t>1.062 ± 0.084</t>
  </si>
  <si>
    <t>34.469 ± 1.861</t>
  </si>
  <si>
    <t>0.5467 ± 0.0486</t>
  </si>
  <si>
    <t>0.931 ± 0.048</t>
  </si>
  <si>
    <t>33.997 ± 1.805</t>
  </si>
  <si>
    <t>0.4855 ± 0.0310</t>
  </si>
  <si>
    <t>1.144 ± 0.077</t>
  </si>
  <si>
    <t>34.652 ± 1.567</t>
  </si>
  <si>
    <t>0.5846 ± 0.0333</t>
  </si>
  <si>
    <t>1.151 ± 0.095</t>
  </si>
  <si>
    <t xml:space="preserve">35.020 ± 2.163 </t>
  </si>
  <si>
    <t>0.5851 ± 0.0709</t>
  </si>
  <si>
    <t>0.933 ± 0.240</t>
  </si>
  <si>
    <t>26.308 ± 2.383</t>
  </si>
  <si>
    <t>0.6379 ± 0.1856</t>
  </si>
  <si>
    <t>0.745 ± 0.057</t>
  </si>
  <si>
    <t>32.044 ± 2.661</t>
  </si>
  <si>
    <t>0.4140 ± 0.0471</t>
  </si>
  <si>
    <t>29.275 ± 2.585</t>
  </si>
  <si>
    <t>0.618 ± 0.067</t>
  </si>
  <si>
    <t>0.3763 ± 0.0512</t>
  </si>
  <si>
    <t>0.679 ± 0.065</t>
  </si>
  <si>
    <t>28.751 ± 3.629</t>
  </si>
  <si>
    <t>0.4253 ± 0.0748</t>
  </si>
  <si>
    <t>0.840 ± 0.092</t>
  </si>
  <si>
    <t>25.983 ± 1.323</t>
  </si>
  <si>
    <t>0.5734 ± 0.0645</t>
  </si>
  <si>
    <t>1.073 ± 0.150</t>
  </si>
  <si>
    <t>28.827 ± 3.795</t>
  </si>
  <si>
    <t>0.6621 ± 0.0813</t>
  </si>
  <si>
    <t>1.108 ± 0.091</t>
  </si>
  <si>
    <t>34.922 ± 2.991</t>
  </si>
  <si>
    <t>0.5667 ± 0.0773</t>
  </si>
  <si>
    <t>33.921 ± 2.363</t>
  </si>
  <si>
    <t>0.954 ± 0.111</t>
  </si>
  <si>
    <t>0.4988 ± 0.0545</t>
  </si>
  <si>
    <t>0.764 ± 0.251</t>
  </si>
  <si>
    <t>33.809 ± 1.194</t>
  </si>
  <si>
    <t xml:space="preserve">0.4046 ± 0.1452 </t>
  </si>
  <si>
    <t>1.078 ± 0.045</t>
  </si>
  <si>
    <t>36.584 ± 1.443</t>
  </si>
  <si>
    <t>0.5223 ± 0.0283</t>
  </si>
  <si>
    <t>1.100 ± 0.071</t>
  </si>
  <si>
    <t>33.961 ± 1.886</t>
  </si>
  <si>
    <t>0.5748 ± 0.0453</t>
  </si>
  <si>
    <t>0.671 ± 0.064</t>
  </si>
  <si>
    <t>30.340 ± 1.520</t>
  </si>
  <si>
    <t xml:space="preserve">0.3914 ± 0.0340 </t>
  </si>
  <si>
    <t>0.976 ± 0.150</t>
  </si>
  <si>
    <t>29.998 ± 1.271</t>
  </si>
  <si>
    <t>0.5769 ± 0.0900</t>
  </si>
  <si>
    <t>1.030 ± 0.098</t>
  </si>
  <si>
    <t>32.618 ± 2.437</t>
  </si>
  <si>
    <t>0.5590 ± 0.0365</t>
  </si>
  <si>
    <t>1.027 ± 0.121</t>
  </si>
  <si>
    <t>33.857 ± 1.183</t>
  </si>
  <si>
    <t>0.5382 ± 0.0715</t>
  </si>
  <si>
    <t>0.794 ± 0.063</t>
  </si>
  <si>
    <t>32.880 ± 2.007</t>
  </si>
  <si>
    <t>0.4288 ± 0.0400</t>
  </si>
  <si>
    <t>0.766 ± 0.075</t>
  </si>
  <si>
    <t>32.564 ± 0.874</t>
  </si>
  <si>
    <t>0.4162 ± 0.0383</t>
  </si>
  <si>
    <t>0.680 ± 0.063</t>
  </si>
  <si>
    <t>27.487 ± 2.093</t>
  </si>
  <si>
    <t>0.4404 ± 0.0553</t>
  </si>
  <si>
    <t>0.875 ± 0.070</t>
  </si>
  <si>
    <t>34.961 ± 2.781</t>
  </si>
  <si>
    <t>0.4458 ± 0.0511</t>
  </si>
  <si>
    <t>1.154 ± 0.079</t>
  </si>
  <si>
    <t>34.784 ± 1.464</t>
  </si>
  <si>
    <t>0.5883 ± 0.0511</t>
  </si>
  <si>
    <t>0.520 ± 0.084</t>
  </si>
  <si>
    <t>33.135 ± 2.380</t>
  </si>
  <si>
    <t>0.2815 ± 0.0612</t>
  </si>
  <si>
    <t>0.670 ± 0.271</t>
  </si>
  <si>
    <t>32.055 ± 3.111</t>
  </si>
  <si>
    <t>0.3790 ± 0.1660</t>
  </si>
  <si>
    <t>0.577 ± 0.099</t>
  </si>
  <si>
    <t>32.071 ± 1.382</t>
  </si>
  <si>
    <t>0.3194 ± 0.0572</t>
  </si>
  <si>
    <t>0.743 ± 0.08</t>
  </si>
  <si>
    <t>24.664 ± 1.246</t>
  </si>
  <si>
    <t>0.5341 ± 0.0636</t>
  </si>
  <si>
    <t>1.075 ± 0.190</t>
  </si>
  <si>
    <t>26.339 ± 2.766</t>
  </si>
  <si>
    <t>0.7272 ± 0.1363</t>
  </si>
  <si>
    <t>0.679 ± 0.246</t>
  </si>
  <si>
    <t>31.183 ± 2.066</t>
  </si>
  <si>
    <t>0.3840 ± 0.1297</t>
  </si>
  <si>
    <t>0.717 ± 0.146</t>
  </si>
  <si>
    <t>33.642 ± 2.518</t>
  </si>
  <si>
    <t>0.3799 ± 0.0829</t>
  </si>
  <si>
    <t>0.824 ± 0.171</t>
  </si>
  <si>
    <t>32.760 ± 2.938</t>
  </si>
  <si>
    <t>0.4544 ± 0.1291</t>
  </si>
  <si>
    <t>0.521 ± 0.086</t>
  </si>
  <si>
    <t>31.344 ± 2.053</t>
  </si>
  <si>
    <t>0.2965 ± 0.0573</t>
  </si>
  <si>
    <t>0.948 ± 0.200</t>
  </si>
  <si>
    <t>35.102 ± 1.053</t>
  </si>
  <si>
    <t>0.4805 ± 0.1099</t>
  </si>
  <si>
    <t>0.582 ± 0.053</t>
  </si>
  <si>
    <t>27.328 ± 3.243</t>
  </si>
  <si>
    <t>0.3826 ± 0.0597</t>
  </si>
  <si>
    <t>0.580 ± 0.167</t>
  </si>
  <si>
    <t>33.504 ± 1.900</t>
  </si>
  <si>
    <t>0.3053 ± 0.0795</t>
  </si>
  <si>
    <t>0.982 ± 0.147</t>
  </si>
  <si>
    <t>33.592 ± 3.039</t>
  </si>
  <si>
    <t>0.5244 ± 0.1078</t>
  </si>
  <si>
    <t>0.424 ± 0.056</t>
  </si>
  <si>
    <t>33.271 ± 1.157</t>
  </si>
  <si>
    <t>0.2264 ± 0.0360</t>
  </si>
  <si>
    <t>0.761 ± 0.288</t>
  </si>
  <si>
    <t>27.786 ± 2.576</t>
  </si>
  <si>
    <t>0.4953 ± 0.2180</t>
  </si>
  <si>
    <t>0.671 ± 0.070</t>
  </si>
  <si>
    <t>36.633 ± 1.339</t>
  </si>
  <si>
    <t>0.3241 ± 0.0311</t>
  </si>
  <si>
    <t>0.627 ± 0.047</t>
  </si>
  <si>
    <t>35.562 ± 0.802</t>
  </si>
  <si>
    <t>0.3120 ± 0.0226</t>
  </si>
  <si>
    <t>0.544 ± 0.084</t>
  </si>
  <si>
    <t>31.058 ± 2.091</t>
  </si>
  <si>
    <t>0.3099 ± 0.0416</t>
  </si>
  <si>
    <t>1.012 ± 0.057</t>
  </si>
  <si>
    <t>33.780 ± 1.104</t>
  </si>
  <si>
    <t>0.5304 ± 0.0310</t>
  </si>
  <si>
    <t>0.705 ± 0.082</t>
  </si>
  <si>
    <t>34.470 ± 1.150</t>
  </si>
  <si>
    <t>0.3618 ± 0.0387</t>
  </si>
  <si>
    <t>0.784 ± 0.099</t>
  </si>
  <si>
    <t>35.173 ± 1.734</t>
  </si>
  <si>
    <t>0.3937 ± 0.0378</t>
  </si>
  <si>
    <t>0.761 ± 0.058</t>
  </si>
  <si>
    <t>34.676 ± 0.412</t>
  </si>
  <si>
    <t>0.3886 ± 0.0300</t>
  </si>
  <si>
    <t>0.985 ± 0.167</t>
  </si>
  <si>
    <t>33.666 ± 2.327</t>
  </si>
  <si>
    <t xml:space="preserve">0.5219 ± 0.1010 </t>
  </si>
  <si>
    <t>0.480 ± 0.048</t>
  </si>
  <si>
    <t>32.003 ± 1.253</t>
  </si>
  <si>
    <t xml:space="preserve">0.2665 ± 0.0337 </t>
  </si>
  <si>
    <t>0.667 ± 0.175</t>
  </si>
  <si>
    <t>34.268 ± 0.954</t>
  </si>
  <si>
    <t>0.3455 ± 0.0943</t>
  </si>
  <si>
    <t>0.933 ± 0.311</t>
  </si>
  <si>
    <t>35.026 ± 2.035</t>
  </si>
  <si>
    <t xml:space="preserve">0.4787 ± 0.1832 </t>
  </si>
  <si>
    <t>0.977 ± 0.053</t>
  </si>
  <si>
    <t>33.775 ± 2.358</t>
  </si>
  <si>
    <t>0.5146 ± 0.0502</t>
  </si>
  <si>
    <t>0.483 ± 0.207</t>
  </si>
  <si>
    <t>34.044 ± 2.052</t>
  </si>
  <si>
    <t>0.2549 ± 0.1270</t>
  </si>
  <si>
    <t>0.676 ± 0.069</t>
  </si>
  <si>
    <t>33.664 ± 1.982</t>
  </si>
  <si>
    <t>0.3562 ± 0.0411</t>
  </si>
  <si>
    <t>0.449 ± 0.043</t>
  </si>
  <si>
    <t>36.620 ± 1.056</t>
  </si>
  <si>
    <t>0.2175 ± 0.0247</t>
  </si>
  <si>
    <t>1.154 ± 0.092</t>
  </si>
  <si>
    <t>33.975 ± 2.311</t>
  </si>
  <si>
    <t>0.6023 ± 0.0467</t>
  </si>
  <si>
    <t>1.001 ± 0.117</t>
  </si>
  <si>
    <t>34.283 ± 2.728</t>
  </si>
  <si>
    <t>0.5166 ± 0.0378</t>
  </si>
  <si>
    <t>1.133 ± 0.097</t>
  </si>
  <si>
    <t>31.281 ± 3.352</t>
  </si>
  <si>
    <t>0.6437 ± 0.0440</t>
  </si>
  <si>
    <t>0.536 ± 0.149</t>
  </si>
  <si>
    <t>35.227 ± 2.455</t>
  </si>
  <si>
    <t>0.2702 ± 0.0753</t>
  </si>
  <si>
    <t>0.857 ± 0.252</t>
  </si>
  <si>
    <t>34.673 ± 1.687</t>
  </si>
  <si>
    <t>0.4407 ± 0.1379</t>
  </si>
  <si>
    <t>1.085 ± 0.096</t>
  </si>
  <si>
    <t>31.513 ± 1.843</t>
  </si>
  <si>
    <t>0.6109 ± 0.0559</t>
  </si>
  <si>
    <t>1.220 ± 0.077</t>
  </si>
  <si>
    <t>36.965 ± 2.341</t>
  </si>
  <si>
    <t>0.5862 ± 0.0530</t>
  </si>
  <si>
    <t>0.626 ± 0.232</t>
  </si>
  <si>
    <t>32.793 ± 1.010</t>
  </si>
  <si>
    <t>0.3358 ± 0.1157</t>
  </si>
  <si>
    <t>0.513 ± 0.130</t>
  </si>
  <si>
    <t>35.192 ± 1.335</t>
  </si>
  <si>
    <t xml:space="preserve">0.2587 ± 0.0679 </t>
  </si>
  <si>
    <t>0.868 ± 0.098</t>
  </si>
  <si>
    <t>34.767 ± 0.963</t>
  </si>
  <si>
    <t>0.4423 ± 0.0539</t>
  </si>
  <si>
    <t>0.924 ± 0.135</t>
  </si>
  <si>
    <t>34.943 ± 1.430</t>
  </si>
  <si>
    <t>0.4672 ± 0.0607</t>
  </si>
  <si>
    <t>1.048 ± 0.087</t>
  </si>
  <si>
    <t>35.865 ± 2.088</t>
  </si>
  <si>
    <t>0.5171 ± 0.0340</t>
  </si>
  <si>
    <t>0.950 ± 0.074</t>
  </si>
  <si>
    <t>33.940 ± 1.100</t>
  </si>
  <si>
    <t>0.4955 ± 0.0382</t>
  </si>
  <si>
    <t>0.713 ± 0.229</t>
  </si>
  <si>
    <t>34.041 ± 1.989</t>
  </si>
  <si>
    <t>0.3760 ± 0.1338</t>
  </si>
  <si>
    <t>1.122 ± 0.082</t>
  </si>
  <si>
    <t>34.948 ± 0.700</t>
  </si>
  <si>
    <t>0.5684 ± 0.0392</t>
  </si>
  <si>
    <t>0.973 ± 0.099</t>
  </si>
  <si>
    <t>33.860 ± 2.010</t>
  </si>
  <si>
    <t>0.5112 ± 0.0653</t>
  </si>
  <si>
    <t>0.729 ± 0.206</t>
  </si>
  <si>
    <t>34.728 ± 1.747</t>
  </si>
  <si>
    <t xml:space="preserve">0.3687 ± 0.0917 </t>
  </si>
  <si>
    <t>0.921 ± 0.047</t>
  </si>
  <si>
    <t>35.916 ± 0.859</t>
  </si>
  <si>
    <t>0.4542 ± 0.0257</t>
  </si>
  <si>
    <t>0.604 ± 0.176</t>
  </si>
  <si>
    <t>32.079 ± 2.855</t>
  </si>
  <si>
    <t>0.3328 ± 0.0846</t>
  </si>
  <si>
    <t>0.685 ± 0.046</t>
  </si>
  <si>
    <t>33.035 ± 2.562</t>
  </si>
  <si>
    <t>0.3690 ± 0.0351</t>
  </si>
  <si>
    <t>0.450 ± 0.030</t>
  </si>
  <si>
    <t>30.215 ± 1.376</t>
  </si>
  <si>
    <t>0.2642 ± 0.0213</t>
  </si>
  <si>
    <t>1.090 ± 0.112</t>
  </si>
  <si>
    <t>34.697 ± 1.716</t>
  </si>
  <si>
    <t>0.5575 ± 0.0625</t>
  </si>
  <si>
    <t>1.182 ± 0.100</t>
  </si>
  <si>
    <t>31.978 ± 2.901</t>
  </si>
  <si>
    <t>0.6570 ± 0.0603</t>
  </si>
  <si>
    <t>0.770 ± 0.039</t>
  </si>
  <si>
    <t>29.210 ± 1.865</t>
  </si>
  <si>
    <t xml:space="preserve">0.4677 ± 0.0276 </t>
  </si>
  <si>
    <t>0.735 ± 0.061</t>
  </si>
  <si>
    <t>32.719 ± 1.022</t>
  </si>
  <si>
    <t>0.3972 ± 0.0221</t>
  </si>
  <si>
    <t>0.889 ± 0.076</t>
  </si>
  <si>
    <t>33.338 ± 2.204</t>
  </si>
  <si>
    <t>0.4736 ± 0.0471</t>
  </si>
  <si>
    <t>0.863 ± 0.077</t>
  </si>
  <si>
    <t>31.932 ± 1.624</t>
  </si>
  <si>
    <t>0.4795 ± 0.0494</t>
  </si>
  <si>
    <t>0.844 ± 0.079</t>
  </si>
  <si>
    <t>34.398 ± 0.987</t>
  </si>
  <si>
    <t>0.4343 ± 0.0377</t>
  </si>
  <si>
    <t>1.077 ± 0.075</t>
  </si>
  <si>
    <t>32.282 ± 1.451</t>
  </si>
  <si>
    <t>0.5906 ± 0.0342</t>
  </si>
  <si>
    <t>0.472 ± 0.022</t>
  </si>
  <si>
    <t>33.937 ± 1.838</t>
  </si>
  <si>
    <t xml:space="preserve">0.2464 ± 0.0124 </t>
  </si>
  <si>
    <t>0.705 ± 0.354</t>
  </si>
  <si>
    <t>33.372 ± 0.874</t>
  </si>
  <si>
    <t>0.3729 ± 0.1850</t>
  </si>
  <si>
    <t>0.527 ± 0.057</t>
  </si>
  <si>
    <t>35.628 ± 1.429</t>
  </si>
  <si>
    <t>0.2622 ± 0.0301</t>
  </si>
  <si>
    <t>0.978 ± 0.102</t>
  </si>
  <si>
    <t>33.196 ± 1.945</t>
  </si>
  <si>
    <t>0.5228 ± 0.0586</t>
  </si>
  <si>
    <t>30.084 ± 1.638</t>
  </si>
  <si>
    <t>0.3304 ± 0.0402</t>
  </si>
  <si>
    <t>1.109 ± 0.186</t>
  </si>
  <si>
    <t>33.742 ± 1.888</t>
  </si>
  <si>
    <t>0.5847 ± 0.1093</t>
  </si>
  <si>
    <t>0.960 ± 0.233</t>
  </si>
  <si>
    <t>33.870 ± 1.006</t>
  </si>
  <si>
    <t>0.5030 ± 0.1299</t>
  </si>
  <si>
    <t>0.684 ± 0.186</t>
  </si>
  <si>
    <t>34.910 ± 2.123</t>
  </si>
  <si>
    <t>0.3519 ± 0.1169</t>
  </si>
  <si>
    <t>0.570 ± 0.204</t>
  </si>
  <si>
    <t>34.211 ± 2.138</t>
  </si>
  <si>
    <t>0.2971 ± 0.1096</t>
  </si>
  <si>
    <t>0.911 ± 0.062</t>
  </si>
  <si>
    <t>33.905 ± 1.126</t>
  </si>
  <si>
    <t>0.4757 ± 0.0325</t>
  </si>
  <si>
    <t>0.681 ± 0.058</t>
  </si>
  <si>
    <t>33.137 ± 2.298</t>
  </si>
  <si>
    <t>0.3661 ± 0.0469</t>
  </si>
  <si>
    <t>0.627 ± 0.208</t>
  </si>
  <si>
    <t>32.253 ± 1.044</t>
  </si>
  <si>
    <t>0.3438 ± 0.1117</t>
  </si>
  <si>
    <t>1.093 ± 0.089</t>
  </si>
  <si>
    <t>30.936 ± 2.595</t>
  </si>
  <si>
    <t xml:space="preserve">0.6288 ± 0.0662 </t>
  </si>
  <si>
    <t>0.566 ± 0.038</t>
  </si>
  <si>
    <t>34.671 ± 1.171</t>
  </si>
  <si>
    <t xml:space="preserve">0.2897 ± 0.0256 </t>
  </si>
  <si>
    <t>1.117 ± 0.077</t>
  </si>
  <si>
    <t>32.153 ± 2.064</t>
  </si>
  <si>
    <t>0.6173 ± 0.0596</t>
  </si>
  <si>
    <t>0.587 ± 0.039</t>
  </si>
  <si>
    <t>34.448 ± 1.056</t>
  </si>
  <si>
    <t>0.3020 ± 0.0233</t>
  </si>
  <si>
    <t>0.789 ± 0.107</t>
  </si>
  <si>
    <t>37.711 ± 1.950</t>
  </si>
  <si>
    <t>0.3704 ± 0.0477</t>
  </si>
  <si>
    <t>0.435 ± 0.037</t>
  </si>
  <si>
    <t>35.833 ± 1.682</t>
  </si>
  <si>
    <t>0.2153 ± 0.0218</t>
  </si>
  <si>
    <t>0.800 ± 0.167</t>
  </si>
  <si>
    <t>31.814 ± 3.630</t>
  </si>
  <si>
    <t>0.4485 ± 0.0880</t>
  </si>
  <si>
    <t>0.657 ± 0.052</t>
  </si>
  <si>
    <t>32.875 ± 2.699</t>
  </si>
  <si>
    <t>0.3573 ± 0.0538</t>
  </si>
  <si>
    <t>0.906 ± 0.064</t>
  </si>
  <si>
    <t>34.185 ± 1.085</t>
  </si>
  <si>
    <t>0.4698 ± 0.0357</t>
  </si>
  <si>
    <t>0.607 ± 0.124</t>
  </si>
  <si>
    <t>35.690 ± 0.953</t>
  </si>
  <si>
    <t>0.3016 ± 0.0636</t>
  </si>
  <si>
    <t>1.053 ± 0.116</t>
  </si>
  <si>
    <t>34.058 ± 2.228</t>
  </si>
  <si>
    <t>0.5490 ± 0.0657</t>
  </si>
  <si>
    <t>0.537 ± 0.243</t>
  </si>
  <si>
    <t>32.605 ± 1.539</t>
  </si>
  <si>
    <t>0.2906 ± 0.1268</t>
  </si>
  <si>
    <t>1.011 ± 0.062</t>
  </si>
  <si>
    <t>32.568 ± 1.035</t>
  </si>
  <si>
    <t>0.5500 ± 0.0414</t>
  </si>
  <si>
    <t>0.966 ± 0.078</t>
  </si>
  <si>
    <t>30.838 ± 2.087</t>
  </si>
  <si>
    <t>0.5570 ± 0.0590</t>
  </si>
  <si>
    <t>0.611 ± 0.042</t>
  </si>
  <si>
    <t>34.158 ± 0.810</t>
  </si>
  <si>
    <t>0.3171 ± 0.0243</t>
  </si>
  <si>
    <t>0.457 ± 0.030</t>
  </si>
  <si>
    <t>36.670 ± 1.214</t>
  </si>
  <si>
    <t>0.2210 ± 0.0181</t>
  </si>
  <si>
    <t>0.877 ± 0.073</t>
  </si>
  <si>
    <t>33.256 ± 1.825</t>
  </si>
  <si>
    <t>0.4676 ± 0.0418</t>
  </si>
  <si>
    <t>0.451 ± 0.035</t>
  </si>
  <si>
    <t>32.495 ± 1.593</t>
  </si>
  <si>
    <t>0.2463 ± 0.0255</t>
  </si>
  <si>
    <t xml:space="preserve">0.522 ± 0.111 </t>
  </si>
  <si>
    <t>29.216 ± 1.118</t>
  </si>
  <si>
    <t>0.3166 ± 0.0668</t>
  </si>
  <si>
    <t>0.972 ± 0.230</t>
  </si>
  <si>
    <t>34.631 ± 2.293</t>
  </si>
  <si>
    <t>0.5014 ± 0.1319</t>
  </si>
  <si>
    <t>1.059 ± 0.081</t>
  </si>
  <si>
    <t>33.391 ± 2.291</t>
  </si>
  <si>
    <t>0.5632 ± 0.0524</t>
  </si>
  <si>
    <t>0.438 ± 0.044</t>
  </si>
  <si>
    <t>34.654 ± 1.506</t>
  </si>
  <si>
    <t xml:space="preserve">0.2243 ± 0.0270 </t>
  </si>
  <si>
    <t>1.142 ± 0.119</t>
  </si>
  <si>
    <t>35.328 ± 1.767</t>
  </si>
  <si>
    <t>0.5720 ± 0.0539</t>
  </si>
  <si>
    <t>0.545 ± 0.111</t>
  </si>
  <si>
    <t>34.187 ± 1.968</t>
  </si>
  <si>
    <t>0.2848 ± 0.0685</t>
  </si>
  <si>
    <t>1.089 ± 0.299</t>
  </si>
  <si>
    <t>34.656 ± 1.123</t>
  </si>
  <si>
    <t>0.5588 ± 0.1631</t>
  </si>
  <si>
    <t>0.435 ± 0.049</t>
  </si>
  <si>
    <t xml:space="preserve">34.454 ± 2.057 </t>
  </si>
  <si>
    <t>0.2245 ± 0.0295</t>
  </si>
  <si>
    <t>0.516 ± 0.036</t>
  </si>
  <si>
    <t>32.787 ± 2.141</t>
  </si>
  <si>
    <t>0.2807 ± 0.0387</t>
  </si>
  <si>
    <t>0.930 ± 0.054</t>
  </si>
  <si>
    <t>33.661 ± 1.169</t>
  </si>
  <si>
    <t>0.4901 ± 0.0376</t>
  </si>
  <si>
    <t>0.976 ± 0.094</t>
  </si>
  <si>
    <t>34.787 ± 1.275</t>
  </si>
  <si>
    <t>0.4965 ± 0.0443</t>
  </si>
  <si>
    <t>1.011 ± 0.073</t>
  </si>
  <si>
    <t>36.770 ± 1.229</t>
  </si>
  <si>
    <t>0.4873 ± 0.0425</t>
  </si>
  <si>
    <t>0.932 ± 0.067</t>
  </si>
  <si>
    <t>29.424 ± 1.192</t>
  </si>
  <si>
    <t>0.5611 ± 0.0439</t>
  </si>
  <si>
    <t>0.445 ± 0.031</t>
  </si>
  <si>
    <t>33.779 ± 1.426</t>
  </si>
  <si>
    <t>0.2342 ± 0.0243</t>
  </si>
  <si>
    <t>1.106 ± 0.133</t>
  </si>
  <si>
    <t>38.456 ± 1.537</t>
  </si>
  <si>
    <t>0.5105 ± 0.0695</t>
  </si>
  <si>
    <t>0.910 ± 0.250</t>
  </si>
  <si>
    <t>33.562 ± 1.481</t>
  </si>
  <si>
    <t>0.4821 ± 0.1374</t>
  </si>
  <si>
    <t>34.767 ± 2.293</t>
  </si>
  <si>
    <t xml:space="preserve">0.3077 ± 0.1077 </t>
  </si>
  <si>
    <t>1.217 ± 0.112</t>
  </si>
  <si>
    <t>34.735 ± 1.275</t>
  </si>
  <si>
    <t>0.6198 ± 0.0461</t>
  </si>
  <si>
    <t xml:space="preserve">0.476 ± 0.050 </t>
  </si>
  <si>
    <t>33.047 ± 2.011</t>
  </si>
  <si>
    <t>0.2570 ± 0.0376</t>
  </si>
  <si>
    <t>0.725 ± 0.101</t>
  </si>
  <si>
    <t>36.153 ± 1.909</t>
  </si>
  <si>
    <t>0.3557 ± 0.0509</t>
  </si>
  <si>
    <t>0.619 ± 0.199</t>
  </si>
  <si>
    <t>31.062 ± 1.222</t>
  </si>
  <si>
    <t>0.3553 ± 0.1244</t>
  </si>
  <si>
    <t>1.054 ± 0.101</t>
  </si>
  <si>
    <t>33.955 ± 1.910</t>
  </si>
  <si>
    <t xml:space="preserve">0.5510 ± 0.0605 </t>
  </si>
  <si>
    <t>0.986 ± 0.156</t>
  </si>
  <si>
    <t>36.474 ± 1.567</t>
  </si>
  <si>
    <t>0.4808 ± 0.0915</t>
  </si>
  <si>
    <t>0.915 ± 0.060</t>
  </si>
  <si>
    <t>32.694 ± 1.696</t>
  </si>
  <si>
    <t>0.4956 ± 0.0202</t>
  </si>
  <si>
    <t>0.727 ± 0.089</t>
  </si>
  <si>
    <t>33.820 ± 1.163</t>
  </si>
  <si>
    <t>0.3803 ± 0.0416</t>
  </si>
  <si>
    <t>0.756 ± 0.004</t>
  </si>
  <si>
    <t>33.668 ± 0.329</t>
  </si>
  <si>
    <t>0.3977 ± 0.0062</t>
  </si>
  <si>
    <t>0.722 ± 0.075</t>
  </si>
  <si>
    <t>34.411 ± 1.589</t>
  </si>
  <si>
    <t xml:space="preserve">0.3713 ± 0.0312 </t>
  </si>
  <si>
    <t>0.619 ± 0.035</t>
  </si>
  <si>
    <t>29.889 ± 2.244</t>
  </si>
  <si>
    <t>0.3684 ± 0.0371</t>
  </si>
  <si>
    <t>0.434 ± 0.040</t>
  </si>
  <si>
    <t>30.308 ± 2.077</t>
  </si>
  <si>
    <t>0.2554 ± 0.0362</t>
  </si>
  <si>
    <t>0.477 ± 0.048</t>
  </si>
  <si>
    <t>31.782 ± 2.681</t>
  </si>
  <si>
    <t>0.2688 ± 0.0442</t>
  </si>
  <si>
    <t>0.472 ± 0.047</t>
  </si>
  <si>
    <t>26.084 ± 2.498</t>
  </si>
  <si>
    <t>0.3242 ± 0.0529</t>
  </si>
  <si>
    <t>0.516 ± 0.031</t>
  </si>
  <si>
    <t>35.545 ± 1.053</t>
  </si>
  <si>
    <t>0.2575 ± 0.0207</t>
  </si>
  <si>
    <t>0.966 ± 0.121</t>
  </si>
  <si>
    <t>34.468 ± 1.477</t>
  </si>
  <si>
    <t>0.4972 ± 0.0653</t>
  </si>
  <si>
    <t>0.571 ± 0.155</t>
  </si>
  <si>
    <t>34.168 ± 1.237</t>
  </si>
  <si>
    <t>0.2980 ± 0.0904</t>
  </si>
  <si>
    <t>0.424 ± 0.028</t>
  </si>
  <si>
    <t>33.651 ± 1.373</t>
  </si>
  <si>
    <t xml:space="preserve">0.2237 ± 0.0187 </t>
  </si>
  <si>
    <t>0.648 ± 0.188</t>
  </si>
  <si>
    <t>34.366 ± 1.756</t>
  </si>
  <si>
    <t>0.3347 ± 0.0991</t>
  </si>
  <si>
    <t>0.718 ± 0.127</t>
  </si>
  <si>
    <t>33.990 ± 1.630</t>
  </si>
  <si>
    <t>0.3766 ± 0.0781</t>
  </si>
  <si>
    <t>0.489 ± 0.079</t>
  </si>
  <si>
    <t>35.869 ± 2.290</t>
  </si>
  <si>
    <t>0.2429 ± 0.0449</t>
  </si>
  <si>
    <t>1.165 ± 0.057</t>
  </si>
  <si>
    <t>34.641 ± 1.140</t>
  </si>
  <si>
    <t>0.5961 ± 0.0428</t>
  </si>
  <si>
    <t>0.682 ± 0.057</t>
  </si>
  <si>
    <t>34.594 ± 1.592</t>
  </si>
  <si>
    <t>0.3494 ± 0.0272</t>
  </si>
  <si>
    <t>0.478 ± 0.058</t>
  </si>
  <si>
    <t>33.411 ± 1.098</t>
  </si>
  <si>
    <t>0.2536 ± 0.0322</t>
  </si>
  <si>
    <t>0.917 ± 0.094</t>
  </si>
  <si>
    <t>35.080 ± 1.054</t>
  </si>
  <si>
    <t xml:space="preserve">0.4625 ± 0.0452 </t>
  </si>
  <si>
    <t>0.504 ± 0.061</t>
  </si>
  <si>
    <t>33.335 ± 4.188</t>
  </si>
  <si>
    <t>0.2714 ± 0.0482</t>
  </si>
  <si>
    <t>0.775 ± 0.333</t>
  </si>
  <si>
    <t>35.069 ± 1.407</t>
  </si>
  <si>
    <t>0.3944 ± 0.1774</t>
  </si>
  <si>
    <t>0.596 ± 0.066</t>
  </si>
  <si>
    <t>34.547 ± 1.631</t>
  </si>
  <si>
    <t>0.3053 ± 0.0311</t>
  </si>
  <si>
    <t>0.613 ± 0.048</t>
  </si>
  <si>
    <t>34.975 ± 1.695</t>
  </si>
  <si>
    <t>0.3114 ± 0.0330</t>
  </si>
  <si>
    <t>0.439 ± 0.143</t>
  </si>
  <si>
    <t>35.098 ± 3.243</t>
  </si>
  <si>
    <t>0.2270 ± 0.0899</t>
  </si>
  <si>
    <t>0.962 ± 0.206</t>
  </si>
  <si>
    <t>31.892 ± 1.234</t>
  </si>
  <si>
    <t>0.5367 ± 0.1245</t>
  </si>
  <si>
    <t>0.719 ± 0.08</t>
  </si>
  <si>
    <t>33.777 ± 1.771</t>
  </si>
  <si>
    <t>0.3785 ± 0.0539</t>
  </si>
  <si>
    <t>0.981 ± 0.093</t>
  </si>
  <si>
    <t>33.614 ± 1.460</t>
  </si>
  <si>
    <t>0.5165 ± 0.0449</t>
  </si>
  <si>
    <t>0.917 ± 0.130</t>
  </si>
  <si>
    <t>26.169 ± 2.119</t>
  </si>
  <si>
    <t>0.6230 ± 0.0903</t>
  </si>
  <si>
    <t>1.048 ± 0.085</t>
  </si>
  <si>
    <t>33.485 ± 2.292</t>
  </si>
  <si>
    <t>0.5559 ± 0.0538</t>
  </si>
  <si>
    <t>0.514 ± 0.082</t>
  </si>
  <si>
    <t>34.960 ± 1.526</t>
  </si>
  <si>
    <t>0.2613 ± 0.0474</t>
  </si>
  <si>
    <t>0.510 ± 0.051</t>
  </si>
  <si>
    <t>34.457 ± 2.102</t>
  </si>
  <si>
    <t xml:space="preserve">0.2642 ± 0.0421 </t>
  </si>
  <si>
    <t>1.050 ± 0.085</t>
  </si>
  <si>
    <t>32.462 ± 1.446</t>
  </si>
  <si>
    <t>0.5731 ± 0.0506</t>
  </si>
  <si>
    <t>1.003 ± 0.089</t>
  </si>
  <si>
    <t>30.176 ± 1.623</t>
  </si>
  <si>
    <t>0.5881 ± 0.0430</t>
  </si>
  <si>
    <t>0.439 ± 0.065</t>
  </si>
  <si>
    <t>32.622 ± 2.480</t>
  </si>
  <si>
    <t>0.2404 ± 0.0460</t>
  </si>
  <si>
    <t xml:space="preserve">0.815 ± 0.078 </t>
  </si>
  <si>
    <t>35.647 ± 1.507</t>
  </si>
  <si>
    <t xml:space="preserve">0.4051 ± 0.0379 </t>
  </si>
  <si>
    <t>0.418 ± 0.063</t>
  </si>
  <si>
    <t>34.732 ± 2.054</t>
  </si>
  <si>
    <t>0.2147 ± 0.0406</t>
  </si>
  <si>
    <t>1.012 ± 0.283</t>
  </si>
  <si>
    <t xml:space="preserve">32.741 ± 2.289 </t>
  </si>
  <si>
    <t>0.5482 ± 0.1533</t>
  </si>
  <si>
    <t>0.867 ± 0.333</t>
  </si>
  <si>
    <t>34.954 ± 2.946</t>
  </si>
  <si>
    <t>0.4513 ± 0.1965</t>
  </si>
  <si>
    <t>0.503 ± 0.040</t>
  </si>
  <si>
    <t>33.694 ± 2.125</t>
  </si>
  <si>
    <t>0.2662 ± 0.0357</t>
  </si>
  <si>
    <t>0.673 ± 0.264</t>
  </si>
  <si>
    <t>33.273 ± 3.106</t>
  </si>
  <si>
    <t>0.3728 ± 0.1840</t>
  </si>
  <si>
    <t>0.404 ± 0.047</t>
  </si>
  <si>
    <t>31.220 ± 2.943</t>
  </si>
  <si>
    <t>0.2310 ± 0.0373</t>
  </si>
  <si>
    <t>1.131 ± 0.095</t>
  </si>
  <si>
    <t>32.430 ± 1.573</t>
  </si>
  <si>
    <t>0.6174 ± 0.0456</t>
  </si>
  <si>
    <t>34.281 ± 1.541</t>
  </si>
  <si>
    <t>0.2482 ± 0.0251</t>
  </si>
  <si>
    <t>0.508 ± 0.053</t>
  </si>
  <si>
    <t>34.122 ± 2.099</t>
  </si>
  <si>
    <t>0.2653 ± 0.0399</t>
  </si>
  <si>
    <t>0.571 ± 0.157</t>
  </si>
  <si>
    <t>35.827 ± 1.798</t>
  </si>
  <si>
    <t>0.2862 ± 0.0970</t>
  </si>
  <si>
    <t>0.760 ± 0.053</t>
  </si>
  <si>
    <t>30.158 ± 2.271</t>
  </si>
  <si>
    <t>0.4490 ± 0.0498</t>
  </si>
  <si>
    <t>1.083 ± 0.138</t>
  </si>
  <si>
    <t>32.923 ± 1.380</t>
  </si>
  <si>
    <t>0.5839 ± 0.0841</t>
  </si>
  <si>
    <t>0.942 ± 0.130</t>
  </si>
  <si>
    <t>29.674 ± 2.383</t>
  </si>
  <si>
    <t>0.5620 ± 0.0597</t>
  </si>
  <si>
    <t>1.068 ± 0.114</t>
  </si>
  <si>
    <t>30.761 ± 0.971</t>
  </si>
  <si>
    <t>0.6161 ± 0.0757</t>
  </si>
  <si>
    <t>0.811 ± 0.258</t>
  </si>
  <si>
    <t>33.550 ± 3.594</t>
  </si>
  <si>
    <t>0.4409 ± 0.1698</t>
  </si>
  <si>
    <t>1.117 ± 0.110</t>
  </si>
  <si>
    <t>35.353 ± 1.362</t>
  </si>
  <si>
    <t>0.5606 ± 0.0648</t>
  </si>
  <si>
    <t>0.746 ± 0.187</t>
  </si>
  <si>
    <t>35.267 ± 1.612</t>
  </si>
  <si>
    <t>0.3744 ± 0.0913</t>
  </si>
  <si>
    <t>0.962 ± 0.270</t>
  </si>
  <si>
    <t>35.216 ± 2.368</t>
  </si>
  <si>
    <t>0.4784 ± 0.1148</t>
  </si>
  <si>
    <t>1.164 ± 0.076</t>
  </si>
  <si>
    <t>35.169 ± 1.143</t>
  </si>
  <si>
    <t>0.5858 ± 0.0278</t>
  </si>
  <si>
    <t>0.454 ± 0.034</t>
  </si>
  <si>
    <t>34.428 ± 1.855</t>
  </si>
  <si>
    <t>0.2344 ± 0.0245</t>
  </si>
  <si>
    <t>0.638 ± 0.047</t>
  </si>
  <si>
    <t>30.651 ± 3.351</t>
  </si>
  <si>
    <t>0.3710 ± 0.0390</t>
  </si>
  <si>
    <t>0.517 ± 0.029</t>
  </si>
  <si>
    <t>32.438 ± 0.962</t>
  </si>
  <si>
    <t>0.2824 ± 0.0222</t>
  </si>
  <si>
    <t>1.047 ± 0.117</t>
  </si>
  <si>
    <t>30.183 ± 3.686</t>
  </si>
  <si>
    <t xml:space="preserve">0.6170 ± 0.0490 </t>
  </si>
  <si>
    <t>0.980 ± 0.047</t>
  </si>
  <si>
    <t>33.869 ± 1.033</t>
  </si>
  <si>
    <t>0.5126 ± 0.0305</t>
  </si>
  <si>
    <t>0.842 ± 0.105</t>
  </si>
  <si>
    <t>35.964 ± 1.420</t>
  </si>
  <si>
    <t>0.4139 ± 0.0468</t>
  </si>
  <si>
    <t>0.942 ± 0.063</t>
  </si>
  <si>
    <t>32.075 ± 1.237</t>
  </si>
  <si>
    <t>0.5203 ± 0.0330</t>
  </si>
  <si>
    <t>0.808 ± 0.09</t>
  </si>
  <si>
    <t>33.319 ± 1.341</t>
  </si>
  <si>
    <t>0.4306 ± 0.0601</t>
  </si>
  <si>
    <t>0.647 ± 0.049</t>
  </si>
  <si>
    <t>29.621 ± 2.323</t>
  </si>
  <si>
    <t>0.3881 ± 0.0373</t>
  </si>
  <si>
    <t>0.768 ± 0.087</t>
  </si>
  <si>
    <t>36.170 ± 2.930</t>
  </si>
  <si>
    <t>0.3766 ± 0.0352</t>
  </si>
  <si>
    <t>0.403 ± 0.024</t>
  </si>
  <si>
    <t>34.087 ± 1.644</t>
  </si>
  <si>
    <t>0.2096 ± 0.0147</t>
  </si>
  <si>
    <t>0.476 ± 0.083</t>
  </si>
  <si>
    <t>33.892 ± 1.394</t>
  </si>
  <si>
    <t>0.2491 ± 0.0423</t>
  </si>
  <si>
    <t>0.725 ± 0.344</t>
  </si>
  <si>
    <t>34.076 ± 2.035</t>
  </si>
  <si>
    <t>0.3716 ± 0.1631</t>
  </si>
  <si>
    <t>0.555 ± 0.052</t>
  </si>
  <si>
    <t>27.497 ± 3.230</t>
  </si>
  <si>
    <t>0.3617 ± 0.0524</t>
  </si>
  <si>
    <t>0.671 ± 0.201</t>
  </si>
  <si>
    <t>32.161 ± 3.247</t>
  </si>
  <si>
    <t>0.3696 ± 0.1043</t>
  </si>
  <si>
    <t>0.555 ± 0.215</t>
  </si>
  <si>
    <t>32.659 ± 2.259</t>
  </si>
  <si>
    <t>0.3041 ± 0.1313</t>
  </si>
  <si>
    <t>0.426 ± 0.040</t>
  </si>
  <si>
    <t>31.724 ± 1.982</t>
  </si>
  <si>
    <t>0.2393 ± 0.0355</t>
  </si>
  <si>
    <t>0.709 ± 0.242</t>
  </si>
  <si>
    <t>33.652 ± 1.081</t>
  </si>
  <si>
    <t xml:space="preserve">0.3735 ± 0.1263 </t>
  </si>
  <si>
    <t>0.524 ± 0.080</t>
  </si>
  <si>
    <t>36.018 ± 1.252</t>
  </si>
  <si>
    <t>0.2582 ± 0.0457</t>
  </si>
  <si>
    <t>0.778 ± 0.320</t>
  </si>
  <si>
    <t>33.421 ± 1.317</t>
  </si>
  <si>
    <t>0.4159 ± 0.1785</t>
  </si>
  <si>
    <t>1.007 ± 0.122</t>
  </si>
  <si>
    <t>33.154 ± 1.210</t>
  </si>
  <si>
    <t xml:space="preserve">0.5397 ± 0.0774 </t>
  </si>
  <si>
    <t>0.687 ± 0.047</t>
  </si>
  <si>
    <t>34.301 ± 1.804</t>
  </si>
  <si>
    <t xml:space="preserve">0.3553 ± 0.0314 </t>
  </si>
  <si>
    <t>0.433 ± 0.03</t>
  </si>
  <si>
    <t>34.783 ± 1.052</t>
  </si>
  <si>
    <t>0.2206 ± 0.0171</t>
  </si>
  <si>
    <t>0.970 ± 0.216</t>
  </si>
  <si>
    <t>34.935 ± 1.005</t>
  </si>
  <si>
    <t>0.4935 ± 0.1201</t>
  </si>
  <si>
    <t>0.481 ± 0.102</t>
  </si>
  <si>
    <t>30.716 ± 2.839</t>
  </si>
  <si>
    <t>0.2758 ± 0.0389</t>
  </si>
  <si>
    <t>0.988 ± 0.116</t>
  </si>
  <si>
    <t>30.393 ± 0.870</t>
  </si>
  <si>
    <t>0.5761 ± 0.0728</t>
  </si>
  <si>
    <t>0.646 ± 0.096</t>
  </si>
  <si>
    <t>30.485 ± 1.426</t>
  </si>
  <si>
    <t>0.3759 ± 0.0598</t>
  </si>
  <si>
    <t>0.689 ± 0.115</t>
  </si>
  <si>
    <t>34.873 ± 1.855</t>
  </si>
  <si>
    <t>0.3505 ± 0.0612</t>
  </si>
  <si>
    <t>0.592 ± 0.228</t>
  </si>
  <si>
    <t>36.638 ± 1.591</t>
  </si>
  <si>
    <t>0.2852 ± 0.1070</t>
  </si>
  <si>
    <t>0.876 ± 0.107</t>
  </si>
  <si>
    <t>34.548 ± 1.585</t>
  </si>
  <si>
    <t>0.4504 ± 0.0656</t>
  </si>
  <si>
    <t>0.676 ± 0.063</t>
  </si>
  <si>
    <t>34.230 ± 1.937</t>
  </si>
  <si>
    <t>0.3501 ± 0.0351</t>
  </si>
  <si>
    <t>0.810 ± 0.175</t>
  </si>
  <si>
    <t>35.271 ± 0.992</t>
  </si>
  <si>
    <t xml:space="preserve">0.4064 ± 0.0846 </t>
  </si>
  <si>
    <t>0.651 ± 0.226</t>
  </si>
  <si>
    <t>32.490 ± 3.061</t>
  </si>
  <si>
    <t>0.3562 ± 0.1216</t>
  </si>
  <si>
    <t>1.116 ± 0.072</t>
  </si>
  <si>
    <t>34.016 ± 1.278</t>
  </si>
  <si>
    <t xml:space="preserve">0.5826 ± 0.0538 </t>
  </si>
  <si>
    <t>0.448 ± 0.042</t>
  </si>
  <si>
    <t>34.308 ± 1.923</t>
  </si>
  <si>
    <t>0.2322 ± 0.0273</t>
  </si>
  <si>
    <t>0.492 ± 0.037</t>
  </si>
  <si>
    <t>32.092 ± 1.677</t>
  </si>
  <si>
    <t>0.2728 ± 0.0346</t>
  </si>
  <si>
    <t>0.909 ± 0.249</t>
  </si>
  <si>
    <t>32.953 ± 2.749</t>
  </si>
  <si>
    <t>0.4973 ± 0.1571</t>
  </si>
  <si>
    <t>1.002 ± 0.106</t>
  </si>
  <si>
    <t>32.989 ± 0.634</t>
  </si>
  <si>
    <t>0.5378 ± 0.0580</t>
  </si>
  <si>
    <t>0.497 ± 0.018</t>
  </si>
  <si>
    <t>36.545 ± 1.024</t>
  </si>
  <si>
    <t>0.2412 ± 0.0129</t>
  </si>
  <si>
    <t>0.824 ± 0.085</t>
  </si>
  <si>
    <t>35.902 ± 0.776</t>
  </si>
  <si>
    <t>0.4061 ± 0.0422</t>
  </si>
  <si>
    <t xml:space="preserve">0.478 ± 0.058 </t>
  </si>
  <si>
    <t>34.558 ± 1.856</t>
  </si>
  <si>
    <t>0.2458 ± 0.0360</t>
  </si>
  <si>
    <t>0.808 ± 0.235</t>
  </si>
  <si>
    <t>32.346 ± 2.761</t>
  </si>
  <si>
    <t>0.4439 ± 0.1276</t>
  </si>
  <si>
    <t>1.150 ± 0.128</t>
  </si>
  <si>
    <t>34.365 ± 0.772</t>
  </si>
  <si>
    <t>0.5929 ± 0.0697</t>
  </si>
  <si>
    <t>0.552 ± 0.105</t>
  </si>
  <si>
    <t>33.351 ± 2.424</t>
  </si>
  <si>
    <t>0.2955 ± 0.0625</t>
  </si>
  <si>
    <t>0.517 ± 0.081</t>
  </si>
  <si>
    <t>33.330 ± 2.729</t>
  </si>
  <si>
    <t>0.2792 ± 0.0637</t>
  </si>
  <si>
    <t>1.140 ± 0.113</t>
  </si>
  <si>
    <t>30.898 ± 3.343</t>
  </si>
  <si>
    <t>0.6568 ± 0.0679</t>
  </si>
  <si>
    <t>0.775 ± 0.262</t>
  </si>
  <si>
    <t>35.768 ± 0.517</t>
  </si>
  <si>
    <t>0.3828 ± 0.1273</t>
  </si>
  <si>
    <t>0.934 ± 0.221</t>
  </si>
  <si>
    <t>32.583 ± 1.332</t>
  </si>
  <si>
    <t>0.5097 ± 0.1312</t>
  </si>
  <si>
    <t>1.270 ± 0.072</t>
  </si>
  <si>
    <t>34.398 ± 2.463</t>
  </si>
  <si>
    <t>0.6563 ± 0.0529</t>
  </si>
  <si>
    <t>0.481 ± 0.036</t>
  </si>
  <si>
    <t>36.886 ± 0.683</t>
  </si>
  <si>
    <t>0.2312 ± 0.0196</t>
  </si>
  <si>
    <t>0.896 ± 0.091</t>
  </si>
  <si>
    <t>33.194 ± 0.925</t>
  </si>
  <si>
    <t>0.4771 ± 0.0394</t>
  </si>
  <si>
    <t>0.904 ± 0.219</t>
  </si>
  <si>
    <t>34.233 ± 2.845</t>
  </si>
  <si>
    <t xml:space="preserve">0.4635 ± 0.0785 </t>
  </si>
  <si>
    <t>0.432 ± 0.068</t>
  </si>
  <si>
    <t>36.031 ± 2.734</t>
  </si>
  <si>
    <t>0.2154 ± 0.0480</t>
  </si>
  <si>
    <t>1.034 ± 0.118</t>
  </si>
  <si>
    <t>33.913 ± 1.637</t>
  </si>
  <si>
    <t>0.5405 ± 0.0602</t>
  </si>
  <si>
    <t>0.732 ± 0.233</t>
  </si>
  <si>
    <t>33.415 ± 2.129</t>
  </si>
  <si>
    <t>0.3940 ± 0.1411</t>
  </si>
  <si>
    <t>1.098 ± 0.058</t>
  </si>
  <si>
    <t>33.128 ± 0.979</t>
  </si>
  <si>
    <t>0.5869 ± 0.0300</t>
  </si>
  <si>
    <t>0.508 ± 0.024</t>
  </si>
  <si>
    <t>37.100 ± 1.475</t>
  </si>
  <si>
    <t>0.2429 ± 0.0173</t>
  </si>
  <si>
    <t>0.485 ± 0.028</t>
  </si>
  <si>
    <t>36.071 ± 2.465</t>
  </si>
  <si>
    <t>0.2398 ± 0.0281</t>
  </si>
  <si>
    <t>1.022 ± 0.073</t>
  </si>
  <si>
    <t>36.945 ± 1.160</t>
  </si>
  <si>
    <t>0.4901 ± 0.0397</t>
  </si>
  <si>
    <t>0.478 ± 0.037</t>
  </si>
  <si>
    <t>36.748 ± 2.263</t>
  </si>
  <si>
    <t>0.2320 ± 0.0304</t>
  </si>
  <si>
    <t>0.697 ± 0.077</t>
  </si>
  <si>
    <t>38.593 ± 1.519</t>
  </si>
  <si>
    <t>0.3194 ± 0.0316</t>
  </si>
  <si>
    <t>0.444 ± 0.039</t>
  </si>
  <si>
    <t>32.006 ± 2.259</t>
  </si>
  <si>
    <t>0.2476 ± 0.0341</t>
  </si>
  <si>
    <t>0.695 ± 0.135</t>
  </si>
  <si>
    <t>34.645 ± 0.900</t>
  </si>
  <si>
    <t>0.3565 ± 0.0751</t>
  </si>
  <si>
    <t>0.962 ± 0.208</t>
  </si>
  <si>
    <t>36.589 ± 2.241</t>
  </si>
  <si>
    <t>0.4694 ± 0.1132</t>
  </si>
  <si>
    <t>1.071 ± 0.141</t>
  </si>
  <si>
    <t>33.986 ± 1.264</t>
  </si>
  <si>
    <t>0.5581 ± 0.0730</t>
  </si>
  <si>
    <t>1.025 ± 0.075</t>
  </si>
  <si>
    <t>36.585 ± 1.057</t>
  </si>
  <si>
    <t>0.4970 ± 0.0458</t>
  </si>
  <si>
    <t>0.764 ± 0.050</t>
  </si>
  <si>
    <t>31.764 ± 2.952</t>
  </si>
  <si>
    <t>0.4298 ± 0.0523</t>
  </si>
  <si>
    <t>1.002 ± 0.157</t>
  </si>
  <si>
    <t>36.167 ± 1.333</t>
  </si>
  <si>
    <t>0.4900 ± 0.0713</t>
  </si>
  <si>
    <t>0.823 ± 0.098</t>
  </si>
  <si>
    <t>33.999 ± 0.739</t>
  </si>
  <si>
    <t>0.4288 ± 0.0521</t>
  </si>
  <si>
    <t>0.833 ± 0.116</t>
  </si>
  <si>
    <t>27.996 ± 2.549</t>
  </si>
  <si>
    <t>0.5311 ± 0.0921</t>
  </si>
  <si>
    <t>0.816 ± 0.362</t>
  </si>
  <si>
    <t>31.952 ± 1.412</t>
  </si>
  <si>
    <t>0.4575 ± 0.2142</t>
  </si>
  <si>
    <t>0.439 ± 0.040</t>
  </si>
  <si>
    <t>31.811 ± 1.606</t>
  </si>
  <si>
    <t>0.2452 ± 0.0287</t>
  </si>
  <si>
    <t>0.569 ± 0.098</t>
  </si>
  <si>
    <t>31.750 ± 3.163</t>
  </si>
  <si>
    <t>0.3211 ± 0.0655</t>
  </si>
  <si>
    <t>0.981 ± 0.085</t>
  </si>
  <si>
    <t>33.333 ± 2.204</t>
  </si>
  <si>
    <t>0.5213 ± 0.0384</t>
  </si>
  <si>
    <t>0.685 ± 0.221</t>
  </si>
  <si>
    <t>29.284 ± 0.413</t>
  </si>
  <si>
    <t>0.4141 ± 0.1327</t>
  </si>
  <si>
    <t>0.413 ± 0.013</t>
  </si>
  <si>
    <t>34.762 ± 0.982</t>
  </si>
  <si>
    <t>0.2104 ± 0.0074</t>
  </si>
  <si>
    <t>1.163 ± 0.123</t>
  </si>
  <si>
    <t>35.966 ± 1.345</t>
  </si>
  <si>
    <t xml:space="preserve">0.5727 ± 0.0603 </t>
  </si>
  <si>
    <t>0.745 ± 0.260</t>
  </si>
  <si>
    <t>35.892 ± 2.270</t>
  </si>
  <si>
    <t>0.3761 ± 0.1570</t>
  </si>
  <si>
    <t>0.910 ± 0.232</t>
  </si>
  <si>
    <t>37.778 ± 2.854</t>
  </si>
  <si>
    <t>0.4261 ± 0.1039</t>
  </si>
  <si>
    <t>0.773 ± 0.091</t>
  </si>
  <si>
    <t>34.907 ± 1.097</t>
  </si>
  <si>
    <t>0.3929 ± 0.0550</t>
  </si>
  <si>
    <t>0.826 ± 0.077</t>
  </si>
  <si>
    <t>35.624 ± 1.165</t>
  </si>
  <si>
    <t>0.4103 ± 0.0318</t>
  </si>
  <si>
    <t>0.508 ± 0.120</t>
  </si>
  <si>
    <t>35.762 ± 3.229</t>
  </si>
  <si>
    <t>0.2551 ± 0.0712</t>
  </si>
  <si>
    <t>0.947 ± 0.123</t>
  </si>
  <si>
    <t>36.100 ± 1.850</t>
  </si>
  <si>
    <t>0.4652 ± 0.0628</t>
  </si>
  <si>
    <t>0.584 ± 0.148</t>
  </si>
  <si>
    <t>34.848 ± 2.110</t>
  </si>
  <si>
    <t>0.3000 ± 0.0889</t>
  </si>
  <si>
    <t>0.545 ± 0.099</t>
  </si>
  <si>
    <t>33.569 ± 2.310</t>
  </si>
  <si>
    <t>0.2868 ± 0.0459</t>
  </si>
  <si>
    <t>0.687 ± 0.069</t>
  </si>
  <si>
    <t>36.075 ± 1.171</t>
  </si>
  <si>
    <t>0.3373 ± 0.0343</t>
  </si>
  <si>
    <t>0.820 ± 0.055</t>
  </si>
  <si>
    <t>35.406 ± 1.593</t>
  </si>
  <si>
    <t>0.4102 ± 0.0247</t>
  </si>
  <si>
    <t>1.260 ± 0.198</t>
  </si>
  <si>
    <t>29.543 ± 1.325</t>
  </si>
  <si>
    <t>0.7562 ± 0.1251</t>
  </si>
  <si>
    <t>0.956 ± 0.248</t>
  </si>
  <si>
    <t>35.421 ± 0.899</t>
  </si>
  <si>
    <t xml:space="preserve">0.4789 ± 0.1283 </t>
  </si>
  <si>
    <t>0.707 ± 0.101</t>
  </si>
  <si>
    <t xml:space="preserve">35.964 ± 1.912 </t>
  </si>
  <si>
    <t xml:space="preserve">0.3479 ± 0.0420 </t>
  </si>
  <si>
    <t>0.865 ± 0.064</t>
  </si>
  <si>
    <t>37.062 ± 0.717</t>
  </si>
  <si>
    <t>0.4134 ± 0.0316</t>
  </si>
  <si>
    <t>1.017 ± 0.097</t>
  </si>
  <si>
    <t>34.085 ± 2.956</t>
  </si>
  <si>
    <t>0.5328 ± 0.0786</t>
  </si>
  <si>
    <t>0.905 ± 0.085</t>
  </si>
  <si>
    <t>33.013 ± 1.365</t>
  </si>
  <si>
    <t>0.4857 ± 0.0470</t>
  </si>
  <si>
    <t>0.844 ± 0.184</t>
  </si>
  <si>
    <t>35.551 ± 1.690</t>
  </si>
  <si>
    <t>0.4237 ± 0.1029</t>
  </si>
  <si>
    <t>0.588 ± 0.148</t>
  </si>
  <si>
    <t>33.743 ± 1.326</t>
  </si>
  <si>
    <t>0.3096 ± 0.0812</t>
  </si>
  <si>
    <t>0.837 ± 0.296</t>
  </si>
  <si>
    <t>35.878 ± 1.618</t>
  </si>
  <si>
    <t>0.4188 ± 0.1626</t>
  </si>
  <si>
    <t>0.932 ± 0.083</t>
  </si>
  <si>
    <t>35.401 ± 1.197</t>
  </si>
  <si>
    <t>0.4667 ± 0.0437</t>
  </si>
  <si>
    <t>0.839 ± 0.249</t>
  </si>
  <si>
    <t>35.384 ± 1.716</t>
  </si>
  <si>
    <t>0.4220 ± 0.1336</t>
  </si>
  <si>
    <t>0.786 ± 0.047</t>
  </si>
  <si>
    <t>38.448 ± 2.426</t>
  </si>
  <si>
    <t>0.3628 ± 0.0266</t>
  </si>
  <si>
    <t>0.454 ± 0.056</t>
  </si>
  <si>
    <t>32.839 ± 1.952</t>
  </si>
  <si>
    <t xml:space="preserve">0.2469 ± 0.0433 </t>
  </si>
  <si>
    <t>0.447 ± 0.034</t>
  </si>
  <si>
    <t>37.003 ± 1.116</t>
  </si>
  <si>
    <t xml:space="preserve">0.2143 ± 0.0187 </t>
  </si>
  <si>
    <t>1.111 ± 0.130</t>
  </si>
  <si>
    <t>34.430 ± 0.768</t>
  </si>
  <si>
    <t>0.5710 ± 0.0667</t>
  </si>
  <si>
    <t>0.561 ± 0.039</t>
  </si>
  <si>
    <t>35.953 ± 1.165</t>
  </si>
  <si>
    <t>0.2768 ± 0.0255</t>
  </si>
  <si>
    <t>0.495 ± 0.086</t>
  </si>
  <si>
    <t>34.773 ± 1.380</t>
  </si>
  <si>
    <t>0.2516 ± 0.0365</t>
  </si>
  <si>
    <t>1.164 ± 0.058</t>
  </si>
  <si>
    <t>35.088 ± 0.905</t>
  </si>
  <si>
    <t>0.5878 ± 0.0347</t>
  </si>
  <si>
    <t>0.867 ± 0.365</t>
  </si>
  <si>
    <t>34.261 ± 1.604</t>
  </si>
  <si>
    <t>0.4423 ± 0.1694</t>
  </si>
  <si>
    <t>0.468 ± 0.077</t>
  </si>
  <si>
    <t>31.773 ± 2.622</t>
  </si>
  <si>
    <t>0.2655 ± 0.0674</t>
  </si>
  <si>
    <t>1.203 ± 0.388</t>
  </si>
  <si>
    <t>35.178 ± 1.419</t>
  </si>
  <si>
    <t>0.6066 ± 0.1980</t>
  </si>
  <si>
    <t>0.669 ± 0.270</t>
  </si>
  <si>
    <t>31.894 ± 2.254</t>
  </si>
  <si>
    <t>0.3798 ± 0.1734</t>
  </si>
  <si>
    <t>0.989 ± 0.112</t>
  </si>
  <si>
    <t>36.096 ± 1.418</t>
  </si>
  <si>
    <t>0.4852 ± 0.0535</t>
  </si>
  <si>
    <t>0.921 ± 0.082</t>
  </si>
  <si>
    <t>34.700 ± 0.576</t>
  </si>
  <si>
    <t>0.4704 ± 0.0472</t>
  </si>
  <si>
    <t>0.617 ± 0.076</t>
  </si>
  <si>
    <t>33.859 ± 1.051</t>
  </si>
  <si>
    <t>0.3225 ± 0.0381</t>
  </si>
  <si>
    <t>0.997 ± 0.213</t>
  </si>
  <si>
    <t>35.206 ± 1.652</t>
  </si>
  <si>
    <t>0.5028 ± 0.1118</t>
  </si>
  <si>
    <t>0.498 ± 0.052</t>
  </si>
  <si>
    <t>32.276 ± 1.280</t>
  </si>
  <si>
    <t>0.2740 ± 0.0343</t>
  </si>
  <si>
    <t>1.014 ± 0.118</t>
  </si>
  <si>
    <t>32.813 ± 0.885</t>
  </si>
  <si>
    <t>0.5479 ± 0.0692</t>
  </si>
  <si>
    <t>0.616 ± 0.110</t>
  </si>
  <si>
    <t>34.912 ± 1.284</t>
  </si>
  <si>
    <t>0.3127 ± 0.0573</t>
  </si>
  <si>
    <t>0.705 ± 0.349</t>
  </si>
  <si>
    <t>35.119 ± 1.116</t>
  </si>
  <si>
    <t>0.3564 ± 0.1793</t>
  </si>
  <si>
    <t>1.150 ± 0.116</t>
  </si>
  <si>
    <t>37.387 ± 1.328</t>
  </si>
  <si>
    <t>0.5440 ± 0.0472</t>
  </si>
  <si>
    <t>0.518 ± 0.062</t>
  </si>
  <si>
    <t>31.129 ± 1.472</t>
  </si>
  <si>
    <t>0.2956 ± 0.0420</t>
  </si>
  <si>
    <t>0.624 ± 0.075</t>
  </si>
  <si>
    <t>33.455 ± 1.684</t>
  </si>
  <si>
    <t>0.3319 ± 0.0509</t>
  </si>
  <si>
    <t>0.419 ± 0.056</t>
  </si>
  <si>
    <t>32.995 ± 1.582</t>
  </si>
  <si>
    <t>0.2262 ± 0.0372</t>
  </si>
  <si>
    <t>0.682 ± 0.150</t>
  </si>
  <si>
    <t>36.526 ± 0.828</t>
  </si>
  <si>
    <t>0.3316 ± 0.0777</t>
  </si>
  <si>
    <t>0.601 ± 0.145</t>
  </si>
  <si>
    <t>34.940 ± 2.717</t>
  </si>
  <si>
    <t>0.3061 ± 0.0738</t>
  </si>
  <si>
    <t>0.968 ± 0.168</t>
  </si>
  <si>
    <t>35.948 ± 1.169</t>
  </si>
  <si>
    <t>0.4755 ± 0.0736</t>
  </si>
  <si>
    <t>0.902 ± 0.050</t>
  </si>
  <si>
    <t>34.911 ± 1.728</t>
  </si>
  <si>
    <t>0.4583 ± 0.0339</t>
  </si>
  <si>
    <t>0.656 ± 0.052</t>
  </si>
  <si>
    <t>29.521 ± 3.533</t>
  </si>
  <si>
    <t xml:space="preserve">0.3980 ± 0.0539 </t>
  </si>
  <si>
    <t xml:space="preserve">0.634 ± 0.062 </t>
  </si>
  <si>
    <t>36.384 ± 0.949</t>
  </si>
  <si>
    <t xml:space="preserve">0.3083 ± 0.0270 </t>
  </si>
  <si>
    <t>0.673 ± 0.095</t>
  </si>
  <si>
    <t>32.925 ± 2.285</t>
  </si>
  <si>
    <t>0.3655 ± 0.0678</t>
  </si>
  <si>
    <t>1.128 ± 0.075</t>
  </si>
  <si>
    <t>32.089 ± 1.652</t>
  </si>
  <si>
    <t>0.6233 ± 0.0448</t>
  </si>
  <si>
    <t>0.560 ± 0.047</t>
  </si>
  <si>
    <t>30.154 ± 1.106</t>
  </si>
  <si>
    <t>0.3293 ± 0.0325</t>
  </si>
  <si>
    <t>0.507 ± 0.145</t>
  </si>
  <si>
    <t>30.463 ± 2.652</t>
  </si>
  <si>
    <t>0.2982 ± 0.0924</t>
  </si>
  <si>
    <t>0.574 ± 0.042</t>
  </si>
  <si>
    <t>28.831 ± 1.210</t>
  </si>
  <si>
    <t>0.3533 ± 0.0369</t>
  </si>
  <si>
    <t>0.764 ± 0.073</t>
  </si>
  <si>
    <t>34.263 ± 1.850</t>
  </si>
  <si>
    <t>0.3967 ± 0.0499</t>
  </si>
  <si>
    <t>1.144 ± 0.189</t>
  </si>
  <si>
    <t>31.871 ± 1.880</t>
  </si>
  <si>
    <t>0.6409 ± 0.1297</t>
  </si>
  <si>
    <t>0.435 ± 0.026</t>
  </si>
  <si>
    <t>32.773 ± 1.063</t>
  </si>
  <si>
    <t>0.2352 ± 0.0198</t>
  </si>
  <si>
    <t>1.117 ± 0.052</t>
  </si>
  <si>
    <t>36.047 ± 1.468</t>
  </si>
  <si>
    <t>0.5500 ± 0.0430</t>
  </si>
  <si>
    <t>0.574 ± 0.112</t>
  </si>
  <si>
    <t>32.204 ± 1.147</t>
  </si>
  <si>
    <t>0.3165 ± 0.0656</t>
  </si>
  <si>
    <t>0.558 ± 0.057</t>
  </si>
  <si>
    <t>34.900 ± 2.343</t>
  </si>
  <si>
    <t>0.2857 ± 0.0470</t>
  </si>
  <si>
    <t>0.637 ± 0.194</t>
  </si>
  <si>
    <t>34.213 ± 1.529</t>
  </si>
  <si>
    <t>0.3320 ± 0.1070</t>
  </si>
  <si>
    <t>0.755 ± 0.091</t>
  </si>
  <si>
    <t>35.293 ± 1.768</t>
  </si>
  <si>
    <t>0.3788 ± 0.0412</t>
  </si>
  <si>
    <t>0.612 ± 0.224</t>
  </si>
  <si>
    <t>32.465 ± 3.206</t>
  </si>
  <si>
    <t>0.3407 ± 0.1386</t>
  </si>
  <si>
    <t>1.067 ± 0.100</t>
  </si>
  <si>
    <t>36.258 ± 2.042</t>
  </si>
  <si>
    <t>0.5225 ± 0.0553</t>
  </si>
  <si>
    <t>0.572 ± 0.194</t>
  </si>
  <si>
    <t>32.442 ± 3.461</t>
  </si>
  <si>
    <t xml:space="preserve">0.3214 ± 0.1368 </t>
  </si>
  <si>
    <t>1.063 ± 0.205</t>
  </si>
  <si>
    <t>35.392 ± 1.084</t>
  </si>
  <si>
    <t>0.5333 ± 0.1065</t>
  </si>
  <si>
    <t>0.867 ± 0.166</t>
  </si>
  <si>
    <t>34.272 ± 3.145</t>
  </si>
  <si>
    <t xml:space="preserve">0.4518 ± 0.0942 </t>
  </si>
  <si>
    <t xml:space="preserve">0.645 ± 0.080 </t>
  </si>
  <si>
    <t>33.506 ± 1.794</t>
  </si>
  <si>
    <t>0.3403 ± 0.0336</t>
  </si>
  <si>
    <t>1.133 ± 0.135</t>
  </si>
  <si>
    <t>33.893 ± 1.422</t>
  </si>
  <si>
    <t>0.5922 ± 0.0711</t>
  </si>
  <si>
    <t>1.083 ± 0.118</t>
  </si>
  <si>
    <t>34.567 ± 1.512</t>
  </si>
  <si>
    <t>0.5563 ± 0.0743</t>
  </si>
  <si>
    <t>0.733 ± 0.231</t>
  </si>
  <si>
    <t>31.380 ± 0.920</t>
  </si>
  <si>
    <t>0.4160 ± 0.1403</t>
  </si>
  <si>
    <t>0.660 ± 0.045</t>
  </si>
  <si>
    <t>33.161 ± 1.544</t>
  </si>
  <si>
    <t>0.3522 ± 0.0198</t>
  </si>
  <si>
    <t>0.718 ± 0.056</t>
  </si>
  <si>
    <t>36.081 ± 1.050</t>
  </si>
  <si>
    <t>0.3524 ± 0.0268</t>
  </si>
  <si>
    <t>0.998 ± 0.046</t>
  </si>
  <si>
    <t>32.310 ± 0.919</t>
  </si>
  <si>
    <t>0.5467 ± 0.0251</t>
  </si>
  <si>
    <t>0.508 ± 0.022</t>
  </si>
  <si>
    <t>36.692 ± 0.936</t>
  </si>
  <si>
    <t>0.2451 ± 0.0100</t>
  </si>
  <si>
    <t>0.488 ± 0.025</t>
  </si>
  <si>
    <t>33.261 ± 1.332</t>
  </si>
  <si>
    <t>0.2603 ± 0.0184</t>
  </si>
  <si>
    <t>0.954 ± 0.157</t>
  </si>
  <si>
    <t>37.258 ± 1.460</t>
  </si>
  <si>
    <t>0.4528 ± 0.0688</t>
  </si>
  <si>
    <t>0.987 ± 0.065</t>
  </si>
  <si>
    <t>35.589 ± 1.515</t>
  </si>
  <si>
    <t>0.4916 ± 0.0370</t>
  </si>
  <si>
    <t>0.534 ± 0.099</t>
  </si>
  <si>
    <t>33.523 ± 1.720</t>
  </si>
  <si>
    <t>0.2822 ± 0.0506</t>
  </si>
  <si>
    <t>0.816 ± 0.091</t>
  </si>
  <si>
    <t>37.633 ± 0.810</t>
  </si>
  <si>
    <t>0.3836 ± 0.0409</t>
  </si>
  <si>
    <t>0.400 ± 0.054</t>
  </si>
  <si>
    <t>36.170 ± 0.917</t>
  </si>
  <si>
    <t>0.1960 ± 0.0297</t>
  </si>
  <si>
    <t>0.473 ± 0.022</t>
  </si>
  <si>
    <t>37.285 ± 0.734</t>
  </si>
  <si>
    <t xml:space="preserve">0.2248 ± 0.0127 </t>
  </si>
  <si>
    <t>1.002 ± 0.107</t>
  </si>
  <si>
    <t>37.279 ± 0.616</t>
  </si>
  <si>
    <t>0.4758 ± 0.0530</t>
  </si>
  <si>
    <t>0.605 ± 0.094</t>
  </si>
  <si>
    <t>31.851 ± 2.027</t>
  </si>
  <si>
    <t>0.3380 ± 0.0586</t>
  </si>
  <si>
    <t>0.554 ± 0.059</t>
  </si>
  <si>
    <t>31.601 ± 1.658</t>
  </si>
  <si>
    <t>0.3108 ± 0.0331</t>
  </si>
  <si>
    <t>0.974 ± 0.109</t>
  </si>
  <si>
    <t>34.748 ± 1.628</t>
  </si>
  <si>
    <t>0.4978 ± 0.0639</t>
  </si>
  <si>
    <t>1.166 ± 0.134</t>
  </si>
  <si>
    <t>36.102 ± 1.386</t>
  </si>
  <si>
    <t>0.5733 ± 0.0724</t>
  </si>
  <si>
    <t>0.606 ± 0.158</t>
  </si>
  <si>
    <t>36.477 ± 1.582</t>
  </si>
  <si>
    <t>0.2931 ± 0.0698</t>
  </si>
  <si>
    <t>0.561 ± 0.030</t>
  </si>
  <si>
    <t>35.302 ± 1.825</t>
  </si>
  <si>
    <t>0.2827 ± 0.0272</t>
  </si>
  <si>
    <t>0.488 ± 0.033</t>
  </si>
  <si>
    <t>35.656 ± 1.053</t>
  </si>
  <si>
    <t>0.2426 ± 0.0202</t>
  </si>
  <si>
    <t>1.164 ± 0.087</t>
  </si>
  <si>
    <t>37.622 ± 1.058</t>
  </si>
  <si>
    <t>0.5480 ± 0.0401</t>
  </si>
  <si>
    <t>1.084 ± 0.064</t>
  </si>
  <si>
    <t>33.243 ± 1.520</t>
  </si>
  <si>
    <t>0.5774 ± 0.0230</t>
  </si>
  <si>
    <t>0.471 ± 0.035</t>
  </si>
  <si>
    <t>33.295 ± 2.030</t>
  </si>
  <si>
    <t>0.2518 ± 0.0304</t>
  </si>
  <si>
    <t>1.112 ± 0.055</t>
  </si>
  <si>
    <t xml:space="preserve">34.397 ± 1.949 </t>
  </si>
  <si>
    <t>0.5742 ± 0.0433</t>
  </si>
  <si>
    <t>0.479 ± 0.033</t>
  </si>
  <si>
    <t>34.351 ± 1.208</t>
  </si>
  <si>
    <t>0.2472 ± 0.0212</t>
  </si>
  <si>
    <t>1.080 ± 0.113</t>
  </si>
  <si>
    <t>38.894 ± 1.228</t>
  </si>
  <si>
    <t>0.4922 ± 0.0569</t>
  </si>
  <si>
    <t>0.664 ± 0.190</t>
  </si>
  <si>
    <t>35.146 ± 1.443</t>
  </si>
  <si>
    <t>0.3348 ± 0.0961</t>
  </si>
  <si>
    <t>0.502 ± 0.036</t>
  </si>
  <si>
    <t>30.115 ± 0.521</t>
  </si>
  <si>
    <t>0.2949 ± 0.0222</t>
  </si>
  <si>
    <t>0.662 ± 0.217</t>
  </si>
  <si>
    <t>39.476 ± 0.801</t>
  </si>
  <si>
    <t>0.2979 ± 0.1001</t>
  </si>
  <si>
    <t>0.523 ± 0.022</t>
  </si>
  <si>
    <t>36.154 ± 1.032</t>
  </si>
  <si>
    <t>0.2563 ± 0.0166</t>
  </si>
  <si>
    <t>0.964 ± 0.097</t>
  </si>
  <si>
    <t>39.170 ± 1.515</t>
  </si>
  <si>
    <t>0.4367 ± 0.0530</t>
  </si>
  <si>
    <t>0.432 ± 0.045</t>
  </si>
  <si>
    <t>38.360 ± 1.190</t>
  </si>
  <si>
    <t xml:space="preserve">0.2000 ± 0.0253 </t>
  </si>
  <si>
    <t>0.540 ± 0.117</t>
  </si>
  <si>
    <t>36.350 ± 1.674</t>
  </si>
  <si>
    <t>0.2641 ± 0.0639</t>
  </si>
  <si>
    <t>0.587 ± 0.086</t>
  </si>
  <si>
    <t>34.399 ± 1.507</t>
  </si>
  <si>
    <t>0.3029 ± 0.0477</t>
  </si>
  <si>
    <t>0.942 ± 0.085</t>
  </si>
  <si>
    <t>38.762 ± 1.436</t>
  </si>
  <si>
    <t>0.4305 ± 0.0369</t>
  </si>
  <si>
    <t>1.101 ± 0.063</t>
  </si>
  <si>
    <t>37.687 ± 1.865</t>
  </si>
  <si>
    <t>0.5176 ± 0.0248</t>
  </si>
  <si>
    <t>0.957 ± 0.022</t>
  </si>
  <si>
    <t>33.460 ± 0.116</t>
  </si>
  <si>
    <t>0.5064 ± 0.0135</t>
  </si>
  <si>
    <t>0.937 ± 0.064</t>
  </si>
  <si>
    <t>34.863 ± 0.855</t>
  </si>
  <si>
    <t>0.4761 ± 0.0338</t>
  </si>
  <si>
    <t>0.783 ± 0.111</t>
  </si>
  <si>
    <t>35.643 ± 1.415</t>
  </si>
  <si>
    <t>0.3884 ± 0.0493</t>
  </si>
  <si>
    <t>1.173 ± 0.098</t>
  </si>
  <si>
    <t>35.354 ± 0.738</t>
  </si>
  <si>
    <t>0.5877 ± 0.0506</t>
  </si>
  <si>
    <t>0.521 ± 0.050</t>
  </si>
  <si>
    <t>31.576 ± 1.706</t>
  </si>
  <si>
    <t>0.2930 ± 0.0321</t>
  </si>
  <si>
    <t>0.608 ± 0.226</t>
  </si>
  <si>
    <t>34.432 ± 2.689</t>
  </si>
  <si>
    <t>0.3202 ± 0.1408</t>
  </si>
  <si>
    <t>0.513 ± 0.028</t>
  </si>
  <si>
    <t>36.497 ± 0.626</t>
  </si>
  <si>
    <t>0.2489 ± 0.0154</t>
  </si>
  <si>
    <t>0.918 ± 0.073</t>
  </si>
  <si>
    <t>36.438 ± 0.719</t>
  </si>
  <si>
    <t>0.4462 ± 0.0359</t>
  </si>
  <si>
    <t>0.894 ± 0.383</t>
  </si>
  <si>
    <t>37.658 ± 1.056</t>
  </si>
  <si>
    <t>0.4184 ± 0.1739</t>
  </si>
  <si>
    <t>0.430 ± 0.038</t>
  </si>
  <si>
    <t>38.114 ± 1.169</t>
  </si>
  <si>
    <t>0.2000 ± 0.0192</t>
  </si>
  <si>
    <t>0.638 ± 0.096</t>
  </si>
  <si>
    <t>36.300 ± 1.643</t>
  </si>
  <si>
    <t>0.3124 ± 0.0529</t>
  </si>
  <si>
    <t>0.721 ± 0.185</t>
  </si>
  <si>
    <t>32.265 ± 1.964</t>
  </si>
  <si>
    <t>0.3960 ± 0.1003</t>
  </si>
  <si>
    <t>0.565 ± 0.162</t>
  </si>
  <si>
    <t>35.168 ± 1.874</t>
  </si>
  <si>
    <t>0.2847 ± 0.0803</t>
  </si>
  <si>
    <t>1.039 ± 0.095</t>
  </si>
  <si>
    <t>36.525 ± 1.114</t>
  </si>
  <si>
    <t>0.5039 ± 0.0463</t>
  </si>
  <si>
    <t>1.017 ± 0.144</t>
  </si>
  <si>
    <t>34.142 ± 1.572</t>
  </si>
  <si>
    <t>0.5292 ± 0.0847</t>
  </si>
  <si>
    <t>0.492 ± 0.074</t>
  </si>
  <si>
    <t>35.729 ± 1.437</t>
  </si>
  <si>
    <t xml:space="preserve">0.2448 ± 0.0412 </t>
  </si>
  <si>
    <t>0.995 ± 0.181</t>
  </si>
  <si>
    <t>37.147 ± 1.607</t>
  </si>
  <si>
    <t>0.4729 ± 0.0767</t>
  </si>
  <si>
    <t>0.478 ± 0.088</t>
  </si>
  <si>
    <t>33.862 ± 2.304</t>
  </si>
  <si>
    <t>0.2507 ± 0.0473</t>
  </si>
  <si>
    <t xml:space="preserve">1.059 ± 0.190 </t>
  </si>
  <si>
    <t>34.653 ± 1.856</t>
  </si>
  <si>
    <t>0.5461 ± 0.1177</t>
  </si>
  <si>
    <t>0.582 ± 0.061</t>
  </si>
  <si>
    <t>34.146 ± 0.558</t>
  </si>
  <si>
    <t>0.3018 ± 0.0306</t>
  </si>
  <si>
    <t xml:space="preserve">0.658 ± 0.059 </t>
  </si>
  <si>
    <t>35.692 ± 0.410</t>
  </si>
  <si>
    <t>0.3262 ± 0.0291</t>
  </si>
  <si>
    <t>0.691 ± 0.253</t>
  </si>
  <si>
    <t>33.534 ± 1.351</t>
  </si>
  <si>
    <t>0.3642 ± 0.1288</t>
  </si>
  <si>
    <t>0.772 ± 0.225</t>
  </si>
  <si>
    <t>35.558 ± 1.480</t>
  </si>
  <si>
    <t>0.3863 ± 0.1199</t>
  </si>
  <si>
    <t>0.585 ± 0.072</t>
  </si>
  <si>
    <t>35.696 ± 1.788</t>
  </si>
  <si>
    <t>0.2897 ± 0.0255</t>
  </si>
  <si>
    <t>0.833 ± 0.071</t>
  </si>
  <si>
    <t>34.972 ± 1.605</t>
  </si>
  <si>
    <t>0.4219 ± 0.0329</t>
  </si>
  <si>
    <t>1.001 ± 0.072</t>
  </si>
  <si>
    <t>36.300 ± 1.562</t>
  </si>
  <si>
    <t>0.4885 ± 0.0324</t>
  </si>
  <si>
    <t>1.091 ± 0.105</t>
  </si>
  <si>
    <t>34.846 ± 1.836</t>
  </si>
  <si>
    <t>0.5550 ± 0.0544</t>
  </si>
  <si>
    <t>0.414 ± 0.044</t>
  </si>
  <si>
    <t>35.151 ± 0.095</t>
  </si>
  <si>
    <t>0.2087 ± 0.0229</t>
  </si>
  <si>
    <t>0.495 ± 0.063</t>
  </si>
  <si>
    <t>36.018 ± 1.091</t>
  </si>
  <si>
    <t>0.2438 ± 0.0359</t>
  </si>
  <si>
    <t>0.885 ± 0.237</t>
  </si>
  <si>
    <t>35.097 ± 2.012</t>
  </si>
  <si>
    <t>0.4452 ± 0.1130</t>
  </si>
  <si>
    <t>0.908 ± 0.106</t>
  </si>
  <si>
    <t>34.882 ± 1.207</t>
  </si>
  <si>
    <t>0.4620 ± 0.0641</t>
  </si>
  <si>
    <t>0.417 ± 0.071</t>
  </si>
  <si>
    <t>31.512 ± 1.102</t>
  </si>
  <si>
    <t>0.2354 ± 0.0456</t>
  </si>
  <si>
    <t>0.763 ± 0.092</t>
  </si>
  <si>
    <t>35.084 ± 1.952</t>
  </si>
  <si>
    <t>0.3857 ± 0.0487</t>
  </si>
  <si>
    <t>0.472 ± 0.037</t>
  </si>
  <si>
    <t>36.238 ± 1.469</t>
  </si>
  <si>
    <t>0.2314 ± 0.0266</t>
  </si>
  <si>
    <t>0.456 ± 0.033</t>
  </si>
  <si>
    <t>36.155 ± 1.059</t>
  </si>
  <si>
    <t xml:space="preserve">0.2236 ± 0.0185 </t>
  </si>
  <si>
    <t>1.160 ± 0.138</t>
  </si>
  <si>
    <t>33.928 ± 1.142</t>
  </si>
  <si>
    <t>0.6074 ± 0.0870</t>
  </si>
  <si>
    <t>0.566 ± 0.035</t>
  </si>
  <si>
    <t>35.240 ± 0.764</t>
  </si>
  <si>
    <t>0.2844 ± 0.0198</t>
  </si>
  <si>
    <t>0.527 ± 0.032</t>
  </si>
  <si>
    <t>35.687 ± 1.486</t>
  </si>
  <si>
    <t xml:space="preserve">0.2622 ± 0.0257 </t>
  </si>
  <si>
    <t>0.779 ± 0.184</t>
  </si>
  <si>
    <t>38.666 ± 0.802</t>
  </si>
  <si>
    <t>0.3574 ± 0.0878</t>
  </si>
  <si>
    <t>0.896 ± 0.193</t>
  </si>
  <si>
    <t>36.709 ± 1.136</t>
  </si>
  <si>
    <t xml:space="preserve">0.4333 ± 0.0980 </t>
  </si>
  <si>
    <t>0.487 ± 0.036</t>
  </si>
  <si>
    <t>38.717 ± 0.848</t>
  </si>
  <si>
    <t>0.2227 ± 0.0143</t>
  </si>
  <si>
    <t>0.972 ± 0.114</t>
  </si>
  <si>
    <t>36.484 ± 1.363</t>
  </si>
  <si>
    <t>0.4709 ± 0.0461</t>
  </si>
  <si>
    <t>0.489 ± 0.057</t>
  </si>
  <si>
    <t>35.999 ± 1.265</t>
  </si>
  <si>
    <t>0.2409 ± 0.0323</t>
  </si>
  <si>
    <t>1.098 ± 0.079</t>
  </si>
  <si>
    <t>39.295 ± 1.794</t>
  </si>
  <si>
    <t>0.4950 ± 0.0320</t>
  </si>
  <si>
    <t>0.547 ± 0.116</t>
  </si>
  <si>
    <t>36.760 ± 1.076</t>
  </si>
  <si>
    <t>0.2648 ± 0.0611</t>
  </si>
  <si>
    <t>0.897 ± 0.058</t>
  </si>
  <si>
    <t>37.802 ± 1.638</t>
  </si>
  <si>
    <t>0.4207 ± 0.0313</t>
  </si>
  <si>
    <t>0.985 ± 0.083</t>
  </si>
  <si>
    <t>36.245 ± 1.553</t>
  </si>
  <si>
    <t>0.4824 ± 0.0497</t>
  </si>
  <si>
    <t>0.451 ± 0.062</t>
  </si>
  <si>
    <t>36.940 ± 1.748</t>
  </si>
  <si>
    <t>0.2168 ± 0.0319</t>
  </si>
  <si>
    <t>1.143 ± 0.076</t>
  </si>
  <si>
    <t>36.408 ± 0.454</t>
  </si>
  <si>
    <t>0.5556 ± 0.0364</t>
  </si>
  <si>
    <t>0.698 ± 0.249</t>
  </si>
  <si>
    <t>36.127 ± 1.326</t>
  </si>
  <si>
    <t>0.3439 ± 0.1264</t>
  </si>
  <si>
    <t>0.557 ± 0.104</t>
  </si>
  <si>
    <t>35.222 ± 1.015</t>
  </si>
  <si>
    <t>0.2807 ± 0.0576</t>
  </si>
  <si>
    <t>0.690 ± 0.048</t>
  </si>
  <si>
    <t>33.764 ± 0.660</t>
  </si>
  <si>
    <t>0.3620 ± 0.0279</t>
  </si>
  <si>
    <t>0.560 ± 0.017</t>
  </si>
  <si>
    <t>33.891 ± 0.898</t>
  </si>
  <si>
    <t>0.2927 ± 0.0134</t>
  </si>
  <si>
    <t>1.025 ± 0.073</t>
  </si>
  <si>
    <t>37.345 ± 1.171</t>
  </si>
  <si>
    <t>0.4869 ± 0.0482</t>
  </si>
  <si>
    <t>0.470 ± 0.046</t>
  </si>
  <si>
    <t>34.135 ± 0.776</t>
  </si>
  <si>
    <t>0.2438 ± 0.0264</t>
  </si>
  <si>
    <t>1.190 ± 0.244</t>
  </si>
  <si>
    <t>37.528 ± 1.201</t>
  </si>
  <si>
    <t xml:space="preserve">0.5630 ± 0.1189 </t>
  </si>
  <si>
    <t>1.110 ± 0.307</t>
  </si>
  <si>
    <t>35.448 ± 1.318</t>
  </si>
  <si>
    <t>0.5519 ± 0.1452</t>
  </si>
  <si>
    <t>0.961 ± 0.141</t>
  </si>
  <si>
    <t>38.705 ± 0.510</t>
  </si>
  <si>
    <t>0.4397 ± 0.0654</t>
  </si>
  <si>
    <t>0.868 ± 0.046</t>
  </si>
  <si>
    <t>35.556 ± 0.576</t>
  </si>
  <si>
    <t>0.4322 ± 0.0234</t>
  </si>
  <si>
    <t>1.050 ± 0.120</t>
  </si>
  <si>
    <t>33.856 ± 1.560</t>
  </si>
  <si>
    <t>0.5503 ± 0.0672</t>
  </si>
  <si>
    <t>0.644 ± 0.063</t>
  </si>
  <si>
    <t>36.614 ± 1.752</t>
  </si>
  <si>
    <t>0.3116 ± 0.0317</t>
  </si>
  <si>
    <t>0.698 ± 0.034</t>
  </si>
  <si>
    <t>33.307 ± 1.676</t>
  </si>
  <si>
    <t>0.3716 ± 0.0235</t>
  </si>
  <si>
    <t>0.500 ± 0.041</t>
  </si>
  <si>
    <t>35.749 ± 1.011</t>
  </si>
  <si>
    <t xml:space="preserve">0.2481 ± 0.0247 </t>
  </si>
  <si>
    <t>0.796 ± 0.314</t>
  </si>
  <si>
    <t>35.007 ± 1.059</t>
  </si>
  <si>
    <t>0.4026 ± 0.1594</t>
  </si>
  <si>
    <t>0.649 ± 0.301</t>
  </si>
  <si>
    <t>34.202 ± 3.228</t>
  </si>
  <si>
    <t>0.3394 ± 0.1478</t>
  </si>
  <si>
    <t>0.480 ± 0.037</t>
  </si>
  <si>
    <t>34.286 ± 1.291</t>
  </si>
  <si>
    <t>0.2487 ± 0.0263</t>
  </si>
  <si>
    <t>0.889 ± 0.044</t>
  </si>
  <si>
    <t>35.639 ± 0.936</t>
  </si>
  <si>
    <t>0.4418 ± 0.0200</t>
  </si>
  <si>
    <t>1.006 ± 0.160</t>
  </si>
  <si>
    <t>34.995 ± 2.572</t>
  </si>
  <si>
    <t>0.5159 ± 0.1127</t>
  </si>
  <si>
    <t>0.452 ± 0.075</t>
  </si>
  <si>
    <t>32.695 ± 2.731</t>
  </si>
  <si>
    <t>0.2449 ± 0.0329</t>
  </si>
  <si>
    <t>0.484 ± 0.037</t>
  </si>
  <si>
    <t>36.928 ± 1.534</t>
  </si>
  <si>
    <t>0.2330 ± 0.0255</t>
  </si>
  <si>
    <t>1.096 ± 0.123</t>
  </si>
  <si>
    <t>33.072 ± 1.268</t>
  </si>
  <si>
    <t>0.5869 ± 0.0652</t>
  </si>
  <si>
    <t>0.835 ± 0.189</t>
  </si>
  <si>
    <t>32.111 ± 2.413</t>
  </si>
  <si>
    <t>0.4654 ± 0.1268</t>
  </si>
  <si>
    <t>0.487 ± 0.054</t>
  </si>
  <si>
    <t>33.394 ± 1.155</t>
  </si>
  <si>
    <t>0.2589 ± 0.0353</t>
  </si>
  <si>
    <t>0.914 ± 0.075</t>
  </si>
  <si>
    <t>33.488 ± 1.783</t>
  </si>
  <si>
    <t xml:space="preserve">0.4836 ± 0.0355 </t>
  </si>
  <si>
    <t>1.095 ± 0.113</t>
  </si>
  <si>
    <t>34.622 ± 1.879</t>
  </si>
  <si>
    <t>0.5598 ± 0.0506</t>
  </si>
  <si>
    <t>0.831 ± 0.084</t>
  </si>
  <si>
    <t>33.482 ± 1.108</t>
  </si>
  <si>
    <t xml:space="preserve">0.4398 ± 0.0459 </t>
  </si>
  <si>
    <t>0.910 ± 0.139</t>
  </si>
  <si>
    <t>35.501 ± 2.265</t>
  </si>
  <si>
    <t>0.4521 ± 0.0470</t>
  </si>
  <si>
    <t>1.208 ± 0.059</t>
  </si>
  <si>
    <t>34.355 ± 1.099</t>
  </si>
  <si>
    <t>0.6228 ± 0.0307</t>
  </si>
  <si>
    <t>0.645 ± 0.042</t>
  </si>
  <si>
    <t>35.964 ± 0.634</t>
  </si>
  <si>
    <t>0.3177 ± 0.0214</t>
  </si>
  <si>
    <t>1.067 ± 0.148</t>
  </si>
  <si>
    <t>34.963 ± 0.651</t>
  </si>
  <si>
    <t>0.5406 ± 0.0765</t>
  </si>
  <si>
    <t>1.134 ± 0.086</t>
  </si>
  <si>
    <t>36.992 ± 0.982</t>
  </si>
  <si>
    <t>0.5431 ± 0.0423</t>
  </si>
  <si>
    <t>0.864 ± 0.230</t>
  </si>
  <si>
    <t>34.887 ± 1.654</t>
  </si>
  <si>
    <t>0.4400 ± 0.1232</t>
  </si>
  <si>
    <t>0.536 ± 0.050</t>
  </si>
  <si>
    <t>35.263 ± 1.290</t>
  </si>
  <si>
    <t>0.2697 ± 0.0328</t>
  </si>
  <si>
    <t>0.760 ± 0.054</t>
  </si>
  <si>
    <t>33.929 ± 1.594</t>
  </si>
  <si>
    <t>0.3973 ± 0.0330</t>
  </si>
  <si>
    <t>0.545 ± 0.222</t>
  </si>
  <si>
    <t>34.486 ± 2.359</t>
  </si>
  <si>
    <t>0.2859 ± 0.1348</t>
  </si>
  <si>
    <t>1.124 ± 0.099</t>
  </si>
  <si>
    <t>34.491 ± 0.919</t>
  </si>
  <si>
    <t>0.5770 ± 0.0532</t>
  </si>
  <si>
    <t>0.474 ± 0.054</t>
  </si>
  <si>
    <t>36.579 ± 1.657</t>
  </si>
  <si>
    <t>0.2294 ± 0.0260</t>
  </si>
  <si>
    <t>0.496 ± 0.069</t>
  </si>
  <si>
    <t>33.322 ± 2.045</t>
  </si>
  <si>
    <t>0.2642 ± 0.0424</t>
  </si>
  <si>
    <t>0.911 ± 0.238</t>
  </si>
  <si>
    <t>36.046 ± 1.624</t>
  </si>
  <si>
    <t>0.4523 ± 0.1317</t>
  </si>
  <si>
    <t>0.942 ± 0.121</t>
  </si>
  <si>
    <t>34.623 ± 2.468</t>
  </si>
  <si>
    <t>0.4823 ± 0.0593</t>
  </si>
  <si>
    <t>0.482 ± 0.043</t>
  </si>
  <si>
    <t>35.092 ± 1.076</t>
  </si>
  <si>
    <t>0.2431 ± 0.0217</t>
  </si>
  <si>
    <t>0.828 ± 0.070</t>
  </si>
  <si>
    <t>37.844 ± 0.819</t>
  </si>
  <si>
    <t>0.3876 ± 0.0386</t>
  </si>
  <si>
    <t>0.481 ± 0.027</t>
  </si>
  <si>
    <t>36.129 ± 0.633</t>
  </si>
  <si>
    <t>0.2358 ± 0.0138</t>
  </si>
  <si>
    <t>0.515 ± 0.114</t>
  </si>
  <si>
    <t>34.344 ± 1.716</t>
  </si>
  <si>
    <t>0.2661 ± 0.0590</t>
  </si>
  <si>
    <t>1.015 ± 0.226</t>
  </si>
  <si>
    <t>37.324 ± 0.843</t>
  </si>
  <si>
    <t>0.4797 ± 0.0997</t>
  </si>
  <si>
    <t>0.573 ± 0.055</t>
  </si>
  <si>
    <t>34.735 ± 1.213</t>
  </si>
  <si>
    <t>0.2924 ± 0.0310</t>
  </si>
  <si>
    <t>0.499 ± 0.056</t>
  </si>
  <si>
    <t>32.139 ± 2.018</t>
  </si>
  <si>
    <t>0.2766 ± 0.0419</t>
  </si>
  <si>
    <t>0.864 ± 0.215</t>
  </si>
  <si>
    <t>34.628 ± 1.793</t>
  </si>
  <si>
    <t>0.4459 ± 0.1310</t>
  </si>
  <si>
    <t>1.131 ± 0.096</t>
  </si>
  <si>
    <t>31.182 ± 1.485</t>
  </si>
  <si>
    <t>0.6439 ± 0.0638</t>
  </si>
  <si>
    <t>1.011 ± 0.204</t>
  </si>
  <si>
    <t>36.002 ± 1.399</t>
  </si>
  <si>
    <t>0.4960 ± 0.0932</t>
  </si>
  <si>
    <t>1.127 ± 0.062</t>
  </si>
  <si>
    <t>32.005 ± 0.703</t>
  </si>
  <si>
    <t>0.6233 ± 0.0352</t>
  </si>
  <si>
    <t>34.586 ± 0.937</t>
  </si>
  <si>
    <t>0.2597 ± 0.0136</t>
  </si>
  <si>
    <t>0.634 ± 0.054</t>
  </si>
  <si>
    <t>35.754 ± 0.708</t>
  </si>
  <si>
    <t xml:space="preserve">0.3140 ± 0.0245 </t>
  </si>
  <si>
    <t>1.175 ± 0.115</t>
  </si>
  <si>
    <t>37.031 ± 0.874</t>
  </si>
  <si>
    <t>0.5619 ± 0.0586</t>
  </si>
  <si>
    <t>0.487 ± 0.041</t>
  </si>
  <si>
    <t>35.260 ± 1.533</t>
  </si>
  <si>
    <t>0.2452 ± 0.0269</t>
  </si>
  <si>
    <t>0.908 ± 0.083</t>
  </si>
  <si>
    <t>34.785 ± 1.405</t>
  </si>
  <si>
    <t>0.4619 ± 0.0323</t>
  </si>
  <si>
    <t>0.439 ± 0.036</t>
  </si>
  <si>
    <t>35.223 ± 2.273</t>
  </si>
  <si>
    <t>0.2222 ± 0.0306</t>
  </si>
  <si>
    <t>1.108 ± 0.040</t>
  </si>
  <si>
    <t>34.728 ± 1.280</t>
  </si>
  <si>
    <t>0.5652 ± 0.0144</t>
  </si>
  <si>
    <t>0.787 ± 0.255</t>
  </si>
  <si>
    <t>36.620 ± 1.750</t>
  </si>
  <si>
    <t>0.3767 ± 0.1097</t>
  </si>
  <si>
    <t>0.430 ± 0.069</t>
  </si>
  <si>
    <t>36.056 ± 1.075</t>
  </si>
  <si>
    <t>0.2112 ± 0.0339</t>
  </si>
  <si>
    <t>0.951 ± 0.129</t>
  </si>
  <si>
    <t>38.568 ± 1.263</t>
  </si>
  <si>
    <t>0.4383 ± 0.0725</t>
  </si>
  <si>
    <t>0.455 ± 0.041</t>
  </si>
  <si>
    <t>38.992 ± 1.120</t>
  </si>
  <si>
    <t>0.2069 ± 0.0211</t>
  </si>
  <si>
    <t xml:space="preserve">0.840 ± 0.081 </t>
  </si>
  <si>
    <t>38.180 ± 1.119</t>
  </si>
  <si>
    <t>0.3893 ± 0.0370</t>
  </si>
  <si>
    <t>0.476 ± 0.023</t>
  </si>
  <si>
    <t>35.783 ± 1.208</t>
  </si>
  <si>
    <t>0.2354 ± 0.0103</t>
  </si>
  <si>
    <t>0.616 ± 0.112</t>
  </si>
  <si>
    <t>35.665 ± 1.203</t>
  </si>
  <si>
    <t>0.3056 ± 0.0538</t>
  </si>
  <si>
    <t>0.527 ± 0.105</t>
  </si>
  <si>
    <t>36.738 ± 1.262</t>
  </si>
  <si>
    <t>0.2543 ± 0.0496</t>
  </si>
  <si>
    <t>1.095 ± 0.146</t>
  </si>
  <si>
    <t>34.985 ± 1.522</t>
  </si>
  <si>
    <t>0.5521 ± 0.0509</t>
  </si>
  <si>
    <t>1.088 ± 0.095</t>
  </si>
  <si>
    <t>38.542 ± 0.377</t>
  </si>
  <si>
    <t>0.4998 ± 0.0424</t>
  </si>
  <si>
    <t>0.706 ± 0.077</t>
  </si>
  <si>
    <t>37.468 ± 1.322</t>
  </si>
  <si>
    <t>0.3338 ± 0.0367</t>
  </si>
  <si>
    <t>1.045 ± 0.167</t>
  </si>
  <si>
    <t>36.251 ± 1.455</t>
  </si>
  <si>
    <t>0.5101 ± 0.0781</t>
  </si>
  <si>
    <t>0.691 ± 0.086</t>
  </si>
  <si>
    <t>35.756 ± 0.836</t>
  </si>
  <si>
    <t>0.3424 ± 0.0426</t>
  </si>
  <si>
    <t>0.847 ± 0.197</t>
  </si>
  <si>
    <t>33.608 ± 2.878</t>
  </si>
  <si>
    <t>0.4541 ± 0.1297</t>
  </si>
  <si>
    <t>1.075 ± 0.046</t>
  </si>
  <si>
    <t>32.917 ± 0.862</t>
  </si>
  <si>
    <t>0.5784 ± 0.0226</t>
  </si>
  <si>
    <t>0.976 ± 0.130</t>
  </si>
  <si>
    <t>33.855 ± 1.117</t>
  </si>
  <si>
    <t>0.5096 ± 0.0597</t>
  </si>
  <si>
    <t>0.808 ± 0.309</t>
  </si>
  <si>
    <t>34.842 ± 3.421</t>
  </si>
  <si>
    <t>0.4017 ± 0.1258</t>
  </si>
  <si>
    <t>0.505 ± 0.028</t>
  </si>
  <si>
    <t>35.311 ± 1.034</t>
  </si>
  <si>
    <t>0.2533 ± 0.0173</t>
  </si>
  <si>
    <t>0.939 ± 0.088</t>
  </si>
  <si>
    <t>35.738 ± 0.777</t>
  </si>
  <si>
    <t>0.4655 ± 0.0463</t>
  </si>
  <si>
    <t>0.460 ± 0.032</t>
  </si>
  <si>
    <t>38.752 ± 1.013</t>
  </si>
  <si>
    <t>0.2103 ± 0.0176</t>
  </si>
  <si>
    <t>0.401 ± 0.017</t>
  </si>
  <si>
    <t>37.357 ± 0.839</t>
  </si>
  <si>
    <t xml:space="preserve">0.1898 ± 0.0079 </t>
  </si>
  <si>
    <t>0.590 ± 0.130</t>
  </si>
  <si>
    <t>35.797 ± 1.092</t>
  </si>
  <si>
    <t>0.2934 ± 0.0726</t>
  </si>
  <si>
    <t>0.667 ± 0.129</t>
  </si>
  <si>
    <t>31.234 ± 0.877</t>
  </si>
  <si>
    <t>0.3788 ± 0.0754</t>
  </si>
  <si>
    <t>0.524 ± 0.111</t>
  </si>
  <si>
    <t>34.852 ± 2.668</t>
  </si>
  <si>
    <t>0.2650 ± 0.0447</t>
  </si>
  <si>
    <t>0.508 ± 0.040</t>
  </si>
  <si>
    <t>38.564 ± 0.968</t>
  </si>
  <si>
    <t>0.2335 ± 0.0185</t>
  </si>
  <si>
    <t>0.764 ± 0.066</t>
  </si>
  <si>
    <t>36.715 ± 0.979</t>
  </si>
  <si>
    <t>0.3691 ± 0.0377</t>
  </si>
  <si>
    <t>0.763 ± 0.354</t>
  </si>
  <si>
    <t>36.413 ± 1.526</t>
  </si>
  <si>
    <t>0.3774 ± 0.1867</t>
  </si>
  <si>
    <t>1.041 ± 0.215</t>
  </si>
  <si>
    <t>36.741 ± 1.609</t>
  </si>
  <si>
    <t>0.5005 ± 0.0933</t>
  </si>
  <si>
    <t>0.623 ± 0.189</t>
  </si>
  <si>
    <t>36.190 ± 1.590</t>
  </si>
  <si>
    <t>0.3048 ± 0.0927</t>
  </si>
  <si>
    <t>0.526 ± 0.054</t>
  </si>
  <si>
    <t>34.195 ± 2.157</t>
  </si>
  <si>
    <t>0.2743 ± 0.0430</t>
  </si>
  <si>
    <t>0.563 ± 0.055</t>
  </si>
  <si>
    <t>33.009 ± 0.859</t>
  </si>
  <si>
    <t>0.3021 ± 0.0322</t>
  </si>
  <si>
    <t>0.800 ± 0.123</t>
  </si>
  <si>
    <t>34.003 ± 1.070</t>
  </si>
  <si>
    <t>0.4163 ± 0.0611</t>
  </si>
  <si>
    <t>0.454 ± 0.047</t>
  </si>
  <si>
    <t>37.718 ± 1.047</t>
  </si>
  <si>
    <t xml:space="preserve">0.2137 ± 0.0255 </t>
  </si>
  <si>
    <t>0.827 ± 0.294</t>
  </si>
  <si>
    <t>35.996 ± 1.287</t>
  </si>
  <si>
    <t>0.4066 ± 0.1451</t>
  </si>
  <si>
    <t>0.538 ± 0.047</t>
  </si>
  <si>
    <t>34.170 ± 0.858</t>
  </si>
  <si>
    <t>0.2791 ± 0.0278</t>
  </si>
  <si>
    <t>0.656 ± 0.066</t>
  </si>
  <si>
    <t>33.870 ± 1.057</t>
  </si>
  <si>
    <t>0.3428 ± 0.0304</t>
  </si>
  <si>
    <t>0.948 ± 0.239</t>
  </si>
  <si>
    <t>35.842 ± 1.530</t>
  </si>
  <si>
    <t>0.4685 ± 0.1185</t>
  </si>
  <si>
    <t>1.149 ± 0.071</t>
  </si>
  <si>
    <t>34.925 ± 1.692</t>
  </si>
  <si>
    <t>0.5828 ± 0.0371</t>
  </si>
  <si>
    <t>0.845 ± 0.135</t>
  </si>
  <si>
    <t>33.255 ± 0.608</t>
  </si>
  <si>
    <t>0.4512 ± 0.0784</t>
  </si>
  <si>
    <t>0.960 ± 0.207</t>
  </si>
  <si>
    <t>30.980 ± 0.323</t>
  </si>
  <si>
    <t>0.5486 ± 0.1195</t>
  </si>
  <si>
    <t>1.059 ± 0.203</t>
  </si>
  <si>
    <t>34.764 ± 2.554</t>
  </si>
  <si>
    <t>0.5449 ± 0.1244</t>
  </si>
  <si>
    <t>1.013 ± 0.079</t>
  </si>
  <si>
    <t>38.415 ± 1.360</t>
  </si>
  <si>
    <t xml:space="preserve">0.4671 ± 0.0378 </t>
  </si>
  <si>
    <t>0.620 ± 0.111</t>
  </si>
  <si>
    <t>32.588 ± 1.880</t>
  </si>
  <si>
    <t>0.3392 ± 0.0697</t>
  </si>
  <si>
    <t>0.606 ± 0.030</t>
  </si>
  <si>
    <t>34.245 ± 0.932</t>
  </si>
  <si>
    <t>0.3132 ± 0.0183</t>
  </si>
  <si>
    <t>0.501 ± 0.023</t>
  </si>
  <si>
    <t>36.370 ± 1.062</t>
  </si>
  <si>
    <t>0.2442 ± 0.0145</t>
  </si>
  <si>
    <t>0.399 ± 0.046</t>
  </si>
  <si>
    <t>36.443 ± 0.907</t>
  </si>
  <si>
    <t>0.1941 ± 0.0265</t>
  </si>
  <si>
    <t>0.817 ± 0.197</t>
  </si>
  <si>
    <t>37.549 ± 1.247</t>
  </si>
  <si>
    <t>0.3856 ± 0.0952</t>
  </si>
  <si>
    <t xml:space="preserve">0.560 ± 0.043 </t>
  </si>
  <si>
    <t>32.686 ± 0.825</t>
  </si>
  <si>
    <t>0.3035 ± 0.0273</t>
  </si>
  <si>
    <t>0.553 ± 0.044</t>
  </si>
  <si>
    <t>31.812 ± 1.400</t>
  </si>
  <si>
    <t>0.3085 ± 0.0311</t>
  </si>
  <si>
    <t>0.468 ± 0.041</t>
  </si>
  <si>
    <t>36.144 ± 1.047</t>
  </si>
  <si>
    <t>0.2296 ± 0.0251</t>
  </si>
  <si>
    <t>1.096 ± 0.192</t>
  </si>
  <si>
    <t>35.696 ± 0.786</t>
  </si>
  <si>
    <t>0.5442 ± 0.0978</t>
  </si>
  <si>
    <t>0.828 ± 0.085</t>
  </si>
  <si>
    <t>37.368 ± 0.389</t>
  </si>
  <si>
    <t xml:space="preserve">0.3921 ± 0.0398 </t>
  </si>
  <si>
    <t>1.221 ± 0.070</t>
  </si>
  <si>
    <t>35.613 ± 0.713</t>
  </si>
  <si>
    <t>0.6070 ± 0.0300</t>
  </si>
  <si>
    <t>0.645 ± 0.144</t>
  </si>
  <si>
    <t>33.607 ± 0.615</t>
  </si>
  <si>
    <t>0.3404 ± 0.0792</t>
  </si>
  <si>
    <t>1.024 ± 0.086</t>
  </si>
  <si>
    <t>36.682 ± 1.072</t>
  </si>
  <si>
    <t xml:space="preserve">0.4948 ± 0.0461 </t>
  </si>
  <si>
    <t>1.254 ± 0.093</t>
  </si>
  <si>
    <t>35.912 ± 0.855</t>
  </si>
  <si>
    <t>0.6176 ± 0.0395</t>
  </si>
  <si>
    <t>1.082 ± 0.073</t>
  </si>
  <si>
    <t>38.508 ± 1.458</t>
  </si>
  <si>
    <t>0.4979 ± 0.0385</t>
  </si>
  <si>
    <t>0.964 ± 0.071</t>
  </si>
  <si>
    <t>34.256 ± 1.087</t>
  </si>
  <si>
    <t>0.4982 ± 0.0370</t>
  </si>
  <si>
    <t xml:space="preserve">0.394 ± 0.024 </t>
  </si>
  <si>
    <t>37.287 ± 1.048</t>
  </si>
  <si>
    <t>0.1870 ± 0.0121</t>
  </si>
  <si>
    <t xml:space="preserve">1.038 ± 0.053 </t>
  </si>
  <si>
    <t>0.5711 ± 0.0325</t>
  </si>
  <si>
    <t>0.811 ± 0.238</t>
  </si>
  <si>
    <t>35.335 ± 1.953</t>
  </si>
  <si>
    <t>0.4042 ± 0.1084</t>
  </si>
  <si>
    <t>0.660 ± 0.322</t>
  </si>
  <si>
    <t>32.615 ± 1.981</t>
  </si>
  <si>
    <t>0.3686 ± 0.2070</t>
  </si>
  <si>
    <t>1.092 ± 0.073</t>
  </si>
  <si>
    <t>37.409 ± 0.994</t>
  </si>
  <si>
    <t>0.5169 ± 0.0368</t>
  </si>
  <si>
    <t>0.509 ± 0.116</t>
  </si>
  <si>
    <t>32.863 ± 0.857</t>
  </si>
  <si>
    <t>0.2755 ± 0.0683</t>
  </si>
  <si>
    <t>0.738 ± 0.054</t>
  </si>
  <si>
    <t>36.912 ± 1.611</t>
  </si>
  <si>
    <t>0.3547 ± 0.0301</t>
  </si>
  <si>
    <t>0.505 ± 0.044</t>
  </si>
  <si>
    <t>30.360 ± 0.894</t>
  </si>
  <si>
    <t>0.2946 ± 0.0293</t>
  </si>
  <si>
    <t>1.113 ± 0.195</t>
  </si>
  <si>
    <t>33.955 ± 0.882</t>
  </si>
  <si>
    <t>0.5796 ± 0.0986</t>
  </si>
  <si>
    <t>0.580 ± 0.098</t>
  </si>
  <si>
    <t>36.206 ± 1.987</t>
  </si>
  <si>
    <t>0.2845 ± 0.0520</t>
  </si>
  <si>
    <t>0.836 ± 0.039</t>
  </si>
  <si>
    <t>30.681 ± 1.140</t>
  </si>
  <si>
    <t>0.4835 ± 0.0357</t>
  </si>
  <si>
    <t>0.974 ± 0.082</t>
  </si>
  <si>
    <t>36.694 ± 1.363</t>
  </si>
  <si>
    <t>0.4702 ± 0.0408</t>
  </si>
  <si>
    <t>0.753 ± 0.064</t>
  </si>
  <si>
    <t>34.474 ± 0.894</t>
  </si>
  <si>
    <t>0.3863 ± 0.0283</t>
  </si>
  <si>
    <t>0.708 ± 0.053</t>
  </si>
  <si>
    <t>32.544 ± 0.798</t>
  </si>
  <si>
    <t>0.3855 ± 0.0344</t>
  </si>
  <si>
    <t>0.638 ± 0.042</t>
  </si>
  <si>
    <t>33.176 ± 1.675</t>
  </si>
  <si>
    <t>0.3402 ± 0.0156</t>
  </si>
  <si>
    <t>0.739 ± 0.070</t>
  </si>
  <si>
    <t>32.459 ± 1.254</t>
  </si>
  <si>
    <t>0.4028 ± 0.0315</t>
  </si>
  <si>
    <t>0.966 ± 0.147</t>
  </si>
  <si>
    <t>32.604 ± 3.594</t>
  </si>
  <si>
    <t>0.5330 ± 0.1127</t>
  </si>
  <si>
    <t xml:space="preserve">0.518 ± 0.113 </t>
  </si>
  <si>
    <t>33.126 ± 2.215</t>
  </si>
  <si>
    <t>0.2817 ± 0.0924</t>
  </si>
  <si>
    <t>0.524 ± 0.027</t>
  </si>
  <si>
    <t>35.178 ± 1.544</t>
  </si>
  <si>
    <t>0.2643 ± 0.0221</t>
  </si>
  <si>
    <t>0.522 ± 0.046</t>
  </si>
  <si>
    <t>35.484 ± 1.191</t>
  </si>
  <si>
    <t>0.2610 ± 0.0261</t>
  </si>
  <si>
    <t>1.093 ± 0.122</t>
  </si>
  <si>
    <t>37.530 ± 1.199</t>
  </si>
  <si>
    <t>0.5155 ± 0.0563</t>
  </si>
  <si>
    <t>0.402 ± 0.071</t>
  </si>
  <si>
    <t>36.242 ± 0.478</t>
  </si>
  <si>
    <t>0.1962 ± 0.0347</t>
  </si>
  <si>
    <t>0.643 ± 0.225</t>
  </si>
  <si>
    <t>35.549 ± 1.455</t>
  </si>
  <si>
    <t>0.3243 ± 0.1270</t>
  </si>
  <si>
    <t>32.013 ± 1.312</t>
  </si>
  <si>
    <t>0.6011 ± 0.0243</t>
  </si>
  <si>
    <t>1.075 ± 0.220</t>
  </si>
  <si>
    <t>35.049 ± 0.841</t>
  </si>
  <si>
    <t xml:space="preserve">0.5421 ± 0.1081 </t>
  </si>
  <si>
    <t>1.043 ± 0.124</t>
  </si>
  <si>
    <t>32.548 ± 1.786</t>
  </si>
  <si>
    <t>0.5703 ± 0.0852</t>
  </si>
  <si>
    <t>0.424 ± 0.063</t>
  </si>
  <si>
    <t>36.374 ± 1.510</t>
  </si>
  <si>
    <t>0.2068 ± 0.0318</t>
  </si>
  <si>
    <t>0.745 ± 0.082</t>
  </si>
  <si>
    <t>36.775 ± 1.263</t>
  </si>
  <si>
    <t xml:space="preserve">0.3592 ± 0.0461 </t>
  </si>
  <si>
    <t>0.616 ± 0.062</t>
  </si>
  <si>
    <t>35.821 ± 1.510</t>
  </si>
  <si>
    <t>0.3056 ± 0.0418</t>
  </si>
  <si>
    <t>0.713 ± 0.046</t>
  </si>
  <si>
    <t>35.619 ± 1.857</t>
  </si>
  <si>
    <t>0.3551 ± 0.0268</t>
  </si>
  <si>
    <t>0.556 ± 0.122</t>
  </si>
  <si>
    <t>37.683 ± 1.909</t>
  </si>
  <si>
    <t>0.2625 ± 0.0631</t>
  </si>
  <si>
    <t>1.071 ± 0.108</t>
  </si>
  <si>
    <t>35.736 ± 2.122</t>
  </si>
  <si>
    <t>0.5303 ± 0.0451</t>
  </si>
  <si>
    <t>0.484 ± 0.061</t>
  </si>
  <si>
    <t>35.360 ± 0.795</t>
  </si>
  <si>
    <t xml:space="preserve">0.2423 ± 0.0310 </t>
  </si>
  <si>
    <t>0.675 ± 0.045</t>
  </si>
  <si>
    <t>34.281 ± 0.866</t>
  </si>
  <si>
    <t>0.3488 ± 0.0241</t>
  </si>
  <si>
    <t>1.174 ± 0.110</t>
  </si>
  <si>
    <t>36.609 ± 0.812</t>
  </si>
  <si>
    <t>0.5681 ± 0.0547</t>
  </si>
  <si>
    <t>1.130 ± 0.094</t>
  </si>
  <si>
    <t>36.008 ± 1.148</t>
  </si>
  <si>
    <t>0.5558 ± 0.0485</t>
  </si>
  <si>
    <t>0.795 ± 0.056</t>
  </si>
  <si>
    <t>30.365 ± 1.115</t>
  </si>
  <si>
    <t>0.4640 ± 0.0388</t>
  </si>
  <si>
    <t>0.472 ± 0.094</t>
  </si>
  <si>
    <t>34.749 ± 0.612</t>
  </si>
  <si>
    <t xml:space="preserve">0.2404 ± 0.0471 </t>
  </si>
  <si>
    <t>0.673 ± 0.228</t>
  </si>
  <si>
    <t>35.434 ± 2.452</t>
  </si>
  <si>
    <t>0.3423 ± 0.1295</t>
  </si>
  <si>
    <t>0.905 ± 0.169</t>
  </si>
  <si>
    <t>34.088 ± 1.326</t>
  </si>
  <si>
    <t>0.4722 ± 0.0947</t>
  </si>
  <si>
    <t>0.704 ± 0.272</t>
  </si>
  <si>
    <t>33.696 ± 1.491</t>
  </si>
  <si>
    <t>0.3683 ± 0.1352</t>
  </si>
  <si>
    <t>0.677 ± 0.050</t>
  </si>
  <si>
    <t>36.029 ± 1.106</t>
  </si>
  <si>
    <t>0.3331 ± 0.0274</t>
  </si>
  <si>
    <t>0.454 ± 0.067</t>
  </si>
  <si>
    <t>33.398 ± 1.693</t>
  </si>
  <si>
    <t>0.2423 ± 0.0442</t>
  </si>
  <si>
    <t>0.918 ± 0.103</t>
  </si>
  <si>
    <t>33.971 ± 2.420</t>
  </si>
  <si>
    <t>0.4807 ± 0.0651</t>
  </si>
  <si>
    <t>1.197 ± 0.083</t>
  </si>
  <si>
    <t>38.410 ± 0.487</t>
  </si>
  <si>
    <t>0.5515 ± 0.0391</t>
  </si>
  <si>
    <t>0.543 ± 0.023</t>
  </si>
  <si>
    <t>34.690 ± 1.570</t>
  </si>
  <si>
    <t>0.2774 ± 0.0153</t>
  </si>
  <si>
    <t>0.448 ± 0.033</t>
  </si>
  <si>
    <t>34.609 ± 0.573</t>
  </si>
  <si>
    <t>0.2292 ± 0.0144</t>
  </si>
  <si>
    <t>0.650 ± 0.187</t>
  </si>
  <si>
    <t>32.846 ± 1.379</t>
  </si>
  <si>
    <t>0.3538 ± 0.1113</t>
  </si>
  <si>
    <t>1.108 ± 0.068</t>
  </si>
  <si>
    <t>34.874 ± 0.649</t>
  </si>
  <si>
    <t>0.5628 ± 0.0372</t>
  </si>
  <si>
    <t>0.485 ± 0.063</t>
  </si>
  <si>
    <t>37.111 ± 1.781</t>
  </si>
  <si>
    <t>0.2318 ± 0.0305</t>
  </si>
  <si>
    <t>0.525 ± 0.043</t>
  </si>
  <si>
    <t>36.472 ± 1.301</t>
  </si>
  <si>
    <t>0.2553 ± 0.0276</t>
  </si>
  <si>
    <t>0.547 ± 0.034</t>
  </si>
  <si>
    <t>35.284 ± 1.373</t>
  </si>
  <si>
    <t>0.2750 ± 0.0224</t>
  </si>
  <si>
    <t>0.886 ± 0.090</t>
  </si>
  <si>
    <t>36.593 ± 1.001</t>
  </si>
  <si>
    <t>0.4290 ± 0.0447</t>
  </si>
  <si>
    <t>1.097 ± 0.093</t>
  </si>
  <si>
    <t>34.439 ± 0.837</t>
  </si>
  <si>
    <t>0.5645 ± 0.0509</t>
  </si>
  <si>
    <t>0.785 ± 0.247</t>
  </si>
  <si>
    <t>36.579 ± 0.978</t>
  </si>
  <si>
    <t>0.3825 ± 0.1275</t>
  </si>
  <si>
    <t>0.820 ± 0.033</t>
  </si>
  <si>
    <t>32.460 ± 1.314</t>
  </si>
  <si>
    <t>0.4483 ± 0.0307</t>
  </si>
  <si>
    <t>0.513 ± 0.113</t>
  </si>
  <si>
    <t>35.499 ± 0.450</t>
  </si>
  <si>
    <t>0.2557 ± 0.0570</t>
  </si>
  <si>
    <t>1.174 ± 0.048</t>
  </si>
  <si>
    <t>35.514 ± 1.159</t>
  </si>
  <si>
    <t>0.5858 ± 0.0283</t>
  </si>
  <si>
    <t>1.168 ± 0.081</t>
  </si>
  <si>
    <t>36.360 ± 1.227</t>
  </si>
  <si>
    <t>0.5688 ± 0.0413</t>
  </si>
  <si>
    <t>0.996 ± 0.138</t>
  </si>
  <si>
    <t>37.737 ± 2.042</t>
  </si>
  <si>
    <t>0.4693 ± 0.0792</t>
  </si>
  <si>
    <t>1.126 ± 0.046</t>
  </si>
  <si>
    <t>34.852 ± 1.241</t>
  </si>
  <si>
    <t>0.5722 ± 0.0273</t>
  </si>
  <si>
    <t>0.554 ± 0.113</t>
  </si>
  <si>
    <t>31.931 ± 1.791</t>
  </si>
  <si>
    <t>0.3063 ± 0.0524</t>
  </si>
  <si>
    <t>0.878 ± 0.110</t>
  </si>
  <si>
    <t>39.247 ± 1.860</t>
  </si>
  <si>
    <t>0.3970 ± 0.0536</t>
  </si>
  <si>
    <t>0.723 ± 0.196</t>
  </si>
  <si>
    <t>33.916 ± 0.634</t>
  </si>
  <si>
    <t>0.3773 ± 0.1026</t>
  </si>
  <si>
    <t>0.635 ± 0.195</t>
  </si>
  <si>
    <t>35.438 ± 0.556</t>
  </si>
  <si>
    <t>0.3179 ± 0.1001</t>
  </si>
  <si>
    <t>0.505 ± 0.027</t>
  </si>
  <si>
    <t>34.694 ± 1.300</t>
  </si>
  <si>
    <t>0.2583 ± 0.0202</t>
  </si>
  <si>
    <t>1.069 ± 0.132</t>
  </si>
  <si>
    <t>36.682 ± 1.086</t>
  </si>
  <si>
    <t>0.5176 ± 0.0745</t>
  </si>
  <si>
    <t>1.111 ± 0.097</t>
  </si>
  <si>
    <t>37.843 ± 0.657</t>
  </si>
  <si>
    <t>0.5195 ± 0.0445</t>
  </si>
  <si>
    <t>1.133 ± 0.051</t>
  </si>
  <si>
    <t>36.226 ± 1.525</t>
  </si>
  <si>
    <t>0.5544 ± 0.0354</t>
  </si>
  <si>
    <t>0.683 ± 0.072</t>
  </si>
  <si>
    <t>30.970 ± 1.879</t>
  </si>
  <si>
    <t>0.3924 ± 0.0514</t>
  </si>
  <si>
    <t>1.070 ± 0.077</t>
  </si>
  <si>
    <t>33.915 ± 1.400</t>
  </si>
  <si>
    <t xml:space="preserve">0.5593 ± 0.0459 </t>
  </si>
  <si>
    <t>0.709 ± 0.150</t>
  </si>
  <si>
    <t>31.281 ± 0.902</t>
  </si>
  <si>
    <t xml:space="preserve">0.4014 ± 0.0837 </t>
  </si>
  <si>
    <t xml:space="preserve">0.962 ± 0.099 </t>
  </si>
  <si>
    <t>36.678 ± 0.794</t>
  </si>
  <si>
    <t>0.4644 ± 0.0474</t>
  </si>
  <si>
    <t>0.554 ± 0.040</t>
  </si>
  <si>
    <t>34.038 ± 0.764</t>
  </si>
  <si>
    <t>0.2885 ± 0.0266</t>
  </si>
  <si>
    <t>0.762 ± 0.075</t>
  </si>
  <si>
    <t>31.215 ± 0.220</t>
  </si>
  <si>
    <t>0.4320 ± 0.0401</t>
  </si>
  <si>
    <t>0.884 ± 0.117</t>
  </si>
  <si>
    <t>28.390 ± 5.546</t>
  </si>
  <si>
    <t>0.5744 ± 0.1528</t>
  </si>
  <si>
    <t>0.590 ± 0.035</t>
  </si>
  <si>
    <t>36.498 ± 0.982</t>
  </si>
  <si>
    <t>0.2862 ± 0.0200</t>
  </si>
  <si>
    <t>1.132 ± 0.038</t>
  </si>
  <si>
    <t>34.467 ± 0.512</t>
  </si>
  <si>
    <t>0.5816 ± 0.0205</t>
  </si>
  <si>
    <t>0.505 ± 0.032</t>
  </si>
  <si>
    <t>32.193 ± 0.653</t>
  </si>
  <si>
    <t>0.2776 ± 0.0189</t>
  </si>
  <si>
    <t xml:space="preserve">0.717 ± 0.270 </t>
  </si>
  <si>
    <t>30.273 ± 1.598</t>
  </si>
  <si>
    <t>0.4183 ± 0.1501</t>
  </si>
  <si>
    <t>0.678 ± 0.089</t>
  </si>
  <si>
    <t>32.643 ± 0.744</t>
  </si>
  <si>
    <t>0.3674 ± 0.0450</t>
  </si>
  <si>
    <t>0.998 ± 0.136</t>
  </si>
  <si>
    <t>28.187 ± 0.414</t>
  </si>
  <si>
    <t>0.6265 ± 0.0848</t>
  </si>
  <si>
    <t>0.525 ± 0.042</t>
  </si>
  <si>
    <t>34.813 ± 1.125</t>
  </si>
  <si>
    <t>0.2670 ± 0.0216</t>
  </si>
  <si>
    <t>0.613 ± 0.092</t>
  </si>
  <si>
    <t>35.797 ± 0.612</t>
  </si>
  <si>
    <t>0.3037 ± 0.0483</t>
  </si>
  <si>
    <t>0.742 ± 0.063</t>
  </si>
  <si>
    <t>35.576 ± 0.634</t>
  </si>
  <si>
    <t>0.3691 ± 0.0291</t>
  </si>
  <si>
    <t>0.791 ± 0.414</t>
  </si>
  <si>
    <t>32.288 ± 2.940</t>
  </si>
  <si>
    <t>0.4180 ± 0.1903</t>
  </si>
  <si>
    <t>0.969 ± 0.165</t>
  </si>
  <si>
    <t>35.335 ± 0.892</t>
  </si>
  <si>
    <t>0.4865 ± 0.0910</t>
  </si>
  <si>
    <t>0.496 ± 0.059</t>
  </si>
  <si>
    <t>33.415 ± 2.619</t>
  </si>
  <si>
    <t>0.2653 ± 0.0449</t>
  </si>
  <si>
    <t>0.508 ± 0.085</t>
  </si>
  <si>
    <t>33.930 ± 1.646</t>
  </si>
  <si>
    <t>0.2654 ± 0.0438</t>
  </si>
  <si>
    <t>0.723 ± 0.064</t>
  </si>
  <si>
    <t>31.203 ± 0.859</t>
  </si>
  <si>
    <t>0.4108 ± 0.0426</t>
  </si>
  <si>
    <t>0.641 ± 0.043</t>
  </si>
  <si>
    <t>36.465 ± 0.581</t>
  </si>
  <si>
    <t xml:space="preserve">0.3114 ± 0.0215 </t>
  </si>
  <si>
    <t>0.525 ± 0.072</t>
  </si>
  <si>
    <t>34.752 ± 1.012</t>
  </si>
  <si>
    <t>0.2682 ± 0.0416</t>
  </si>
  <si>
    <t>1.107 ± 0.083</t>
  </si>
  <si>
    <t>33.952 ± 1.096</t>
  </si>
  <si>
    <t>0.5779 ± 0.0475</t>
  </si>
  <si>
    <t>0.669 ± 0.057</t>
  </si>
  <si>
    <t>34.499 ± 0.673</t>
  </si>
  <si>
    <t>0.3432 ± 0.0313</t>
  </si>
  <si>
    <t>0.766 ± 0.054</t>
  </si>
  <si>
    <t>34.756 ± 0.933</t>
  </si>
  <si>
    <t xml:space="preserve">0.3899 ± 0.0234 </t>
  </si>
  <si>
    <t>1.135 ± 0.093</t>
  </si>
  <si>
    <t>35.282 ± 0.641</t>
  </si>
  <si>
    <t>0.5698 ± 0.0513</t>
  </si>
  <si>
    <t>1.092 ± 0.138</t>
  </si>
  <si>
    <t>35.087 ± 0.950</t>
  </si>
  <si>
    <t>0.5518 ± 0.0760</t>
  </si>
  <si>
    <t>0.757 ± 0.097</t>
  </si>
  <si>
    <t>35.984 ± 0.870</t>
  </si>
  <si>
    <t>0.3721 ± 0.0407</t>
  </si>
  <si>
    <t>0.977 ± 0.133</t>
  </si>
  <si>
    <t>35.058 ± 0.619</t>
  </si>
  <si>
    <t>0.4940 ± 0.0728</t>
  </si>
  <si>
    <t>0.997 ± 0.236</t>
  </si>
  <si>
    <t>35.097 ± 1.163</t>
  </si>
  <si>
    <t>0.5058 ± 0.1294</t>
  </si>
  <si>
    <t>0.930 ± 0.080</t>
  </si>
  <si>
    <t>33.357 ± 1.537</t>
  </si>
  <si>
    <t>0.4933 ± 0.0352</t>
  </si>
  <si>
    <t>0.511 ± 0.035</t>
  </si>
  <si>
    <t>33.489 ± 0.552</t>
  </si>
  <si>
    <t>0.2701 ± 0.0203</t>
  </si>
  <si>
    <t>0.875 ± 0.105</t>
  </si>
  <si>
    <t>35.926 ± 0.427</t>
  </si>
  <si>
    <t>0.4311 ± 0.0516</t>
  </si>
  <si>
    <t>0.435 ± 0.039</t>
  </si>
  <si>
    <t>36.828 ± 1.251</t>
  </si>
  <si>
    <t xml:space="preserve">0.2096 ± 0.0243 </t>
  </si>
  <si>
    <t xml:space="preserve">1.145 ± 0.093 </t>
  </si>
  <si>
    <t>34.549 ± 1.645</t>
  </si>
  <si>
    <t>0.5880 ± 0.0573</t>
  </si>
  <si>
    <t>0.971 ± 0.252</t>
  </si>
  <si>
    <t>36.720 ± 0.930</t>
  </si>
  <si>
    <t>0.4691 ± 0.1229</t>
  </si>
  <si>
    <t>0.531 ± 0.026</t>
  </si>
  <si>
    <t>33.462 ± 1.015</t>
  </si>
  <si>
    <t>0.2813 ± 0.0188</t>
  </si>
  <si>
    <t>0.506 ± 0.057</t>
  </si>
  <si>
    <t>31.194 ± 0.558</t>
  </si>
  <si>
    <t>0.2873 ± 0.0334</t>
  </si>
  <si>
    <t>0.659 ± 0.049</t>
  </si>
  <si>
    <t>37.327 ± 0.704</t>
  </si>
  <si>
    <t>0.3128 ± 0.0255</t>
  </si>
  <si>
    <t>1.064 ± 0.095</t>
  </si>
  <si>
    <t>37.664 ± 1.229</t>
  </si>
  <si>
    <t>0.5011 ± 0.0549</t>
  </si>
  <si>
    <t>1.132 ± 0.059</t>
  </si>
  <si>
    <t>36.803 ± 1.334</t>
  </si>
  <si>
    <t>0.5447 ± 0.0312</t>
  </si>
  <si>
    <t>1.099 ± 0.068</t>
  </si>
  <si>
    <t>31.870 ± 1.497</t>
  </si>
  <si>
    <t>0.6120 ± 0.0506</t>
  </si>
  <si>
    <t>0.496 ± 0.037</t>
  </si>
  <si>
    <t>35.018 ± 0.758</t>
  </si>
  <si>
    <t>0.2510 ± 0.0201</t>
  </si>
  <si>
    <t>1.111 ± 0.086</t>
  </si>
  <si>
    <t>35.844 ± 0.929</t>
  </si>
  <si>
    <t>0.5484 ± 0.0397</t>
  </si>
  <si>
    <t>0.771 ± 0.169</t>
  </si>
  <si>
    <t xml:space="preserve">36.403 ± 1.473 </t>
  </si>
  <si>
    <t>0.3753 ± 0.0828</t>
  </si>
  <si>
    <t>0.785 ± 0.121</t>
  </si>
  <si>
    <t>28.649 ± 0.551</t>
  </si>
  <si>
    <t>0.4848 ± 0.0709</t>
  </si>
  <si>
    <t xml:space="preserve">1.077 ± 0.063 </t>
  </si>
  <si>
    <t>37.319 ± 1.356</t>
  </si>
  <si>
    <t>0.5109 ± 0.0282</t>
  </si>
  <si>
    <t>0.476 ± 0.034</t>
  </si>
  <si>
    <t>35.436 ± 1.799</t>
  </si>
  <si>
    <t>0.2386 ± 0.0264</t>
  </si>
  <si>
    <t>1.159 ± 0.148</t>
  </si>
  <si>
    <t>34.904 ± 2.057</t>
  </si>
  <si>
    <t>0.5864 ± 0.0555</t>
  </si>
  <si>
    <t>0.828 ± 0.305</t>
  </si>
  <si>
    <t>36.053 ± 1.141</t>
  </si>
  <si>
    <t>0.4032 ± 0.1390</t>
  </si>
  <si>
    <t>0.415 ± 0.058</t>
  </si>
  <si>
    <t>34.880 ± 0.828</t>
  </si>
  <si>
    <t>0.2109 ± 0.0320</t>
  </si>
  <si>
    <t>1.079 ± 0.218</t>
  </si>
  <si>
    <t>36.376 ± 0.690</t>
  </si>
  <si>
    <t>0.5263 ± 0.1112</t>
  </si>
  <si>
    <t>0.430 ± 0.031</t>
  </si>
  <si>
    <t>35.016 ± 1.396</t>
  </si>
  <si>
    <t>0.2182 ± 0.0225</t>
  </si>
  <si>
    <t xml:space="preserve">0.630 ± 0.040 </t>
  </si>
  <si>
    <t>36.018 ± 0.715</t>
  </si>
  <si>
    <t>0.3093 ± 0.0181</t>
  </si>
  <si>
    <t>0.898 ± 0.124</t>
  </si>
  <si>
    <t>36.758 ± 1.460</t>
  </si>
  <si>
    <t>0.4337 ± 0.0698</t>
  </si>
  <si>
    <t>0.615 ± 0.168</t>
  </si>
  <si>
    <t>35.497 ± 0.951</t>
  </si>
  <si>
    <t>0.3083 ± 0.0945</t>
  </si>
  <si>
    <t>0.483 ± 0.027</t>
  </si>
  <si>
    <t>36.292 ± 1.140</t>
  </si>
  <si>
    <t>0.2359 ± 0.0138</t>
  </si>
  <si>
    <t>0.997 ± 0.113</t>
  </si>
  <si>
    <t>36.985 ± 0.526</t>
  </si>
  <si>
    <t>0.4765 ± 0.0493</t>
  </si>
  <si>
    <t>1.064 ± 0.076</t>
  </si>
  <si>
    <t>36.019 ± 0.925</t>
  </si>
  <si>
    <t>0.5233 ± 0.0391</t>
  </si>
  <si>
    <t>0.858 ± 0.070</t>
  </si>
  <si>
    <t>31.825 ± 1.234</t>
  </si>
  <si>
    <t>0.4771 ± 0.0328</t>
  </si>
  <si>
    <t>0.822 ± 0.026</t>
  </si>
  <si>
    <t>34.720 ± 0.246</t>
  </si>
  <si>
    <t>0.4192 ± 0.0103</t>
  </si>
  <si>
    <t>0.628 ± 0.051</t>
  </si>
  <si>
    <t>36.771 ± 1.165</t>
  </si>
  <si>
    <t>0.3022 ± 0.0236</t>
  </si>
  <si>
    <t>0.972 ± 0.235</t>
  </si>
  <si>
    <t>33.032 ± 1.207</t>
  </si>
  <si>
    <t>0.5224 ± 0.1360</t>
  </si>
  <si>
    <t>0.593 ± 0.101</t>
  </si>
  <si>
    <t>32.289 ± 0.950</t>
  </si>
  <si>
    <t>0.3256 ± 0.0568</t>
  </si>
  <si>
    <t>0.507 ± 0.033</t>
  </si>
  <si>
    <t>35.991 ± 0.663</t>
  </si>
  <si>
    <t xml:space="preserve">0.2495 ± 0.0171 </t>
  </si>
  <si>
    <t>0.724 ± 0.205</t>
  </si>
  <si>
    <t>36.852 ± 1.272</t>
  </si>
  <si>
    <t>0.3476 ± 0.0978</t>
  </si>
  <si>
    <t>0.489 ± 0.025</t>
  </si>
  <si>
    <t>35.313 ± 0.427</t>
  </si>
  <si>
    <t>0.2450 ± 0.0142</t>
  </si>
  <si>
    <t xml:space="preserve">0.895 ± 0.004 </t>
  </si>
  <si>
    <t>34.418 ± 0.744</t>
  </si>
  <si>
    <t>0.4601 ± 0.0077</t>
  </si>
  <si>
    <t>0.860 ± 0.273</t>
  </si>
  <si>
    <t>33.685 ± 0.851</t>
  </si>
  <si>
    <t>0.4536 ± 0.1482</t>
  </si>
  <si>
    <t>0.712 ± 0.247</t>
  </si>
  <si>
    <t>30.283 ± 1.379</t>
  </si>
  <si>
    <t>0.4218 ± 0.1650</t>
  </si>
  <si>
    <t>0.935 ± 0.141</t>
  </si>
  <si>
    <t>30.659 ± 1.024</t>
  </si>
  <si>
    <t>0.5383 ± 0.0659</t>
  </si>
  <si>
    <t>0.960 ± 0.101</t>
  </si>
  <si>
    <t>32.768 ± 0.710</t>
  </si>
  <si>
    <t>0.5184 ± 0.0509</t>
  </si>
  <si>
    <t>0.605 ± 0.108</t>
  </si>
  <si>
    <t>34.451 ± 2.193</t>
  </si>
  <si>
    <t>0.3137 ± 0.0691</t>
  </si>
  <si>
    <t>0.672 ± 0.027</t>
  </si>
  <si>
    <t>36.742 ± 0.071</t>
  </si>
  <si>
    <t>0.3236 ± 0.0122</t>
  </si>
  <si>
    <t>0.704 ± 0.059</t>
  </si>
  <si>
    <t>36.681 ± 0.938</t>
  </si>
  <si>
    <t>0.3401 ± 0.0302</t>
  </si>
  <si>
    <t>0.519 ± 0.071</t>
  </si>
  <si>
    <t>31.102 ± 4.919</t>
  </si>
  <si>
    <t xml:space="preserve">0.3058 ± 0.0781 </t>
  </si>
  <si>
    <t>0.800 ± 0.282</t>
  </si>
  <si>
    <t>33.526 ± 2.151</t>
  </si>
  <si>
    <t>0.4284 ± 0.1626</t>
  </si>
  <si>
    <t>0.700 ± 0.213</t>
  </si>
  <si>
    <t>33.159 ± 1.220</t>
  </si>
  <si>
    <t>0.3772 ± 0.1248</t>
  </si>
  <si>
    <t>0.599 ± 0.073</t>
  </si>
  <si>
    <t>34.757 ± 1.129</t>
  </si>
  <si>
    <t>0.3043 ± 0.0290</t>
  </si>
  <si>
    <t>0.984 ± 0.106</t>
  </si>
  <si>
    <t>36.807 ± 1.652</t>
  </si>
  <si>
    <t>0.4726 ± 0.0413</t>
  </si>
  <si>
    <t>0.827 ± 0.113</t>
  </si>
  <si>
    <t>34.905 ± 1.849</t>
  </si>
  <si>
    <t>0.4203 ± 0.0591</t>
  </si>
  <si>
    <t>1.001 ± 0.078</t>
  </si>
  <si>
    <t>34.303 ± 1.106</t>
  </si>
  <si>
    <t>0.5162 ± 0.0299</t>
  </si>
  <si>
    <t>1.090 ± 0.129</t>
  </si>
  <si>
    <t>34.995 ± 1.333</t>
  </si>
  <si>
    <t>0.5502 ± 0.0512</t>
  </si>
  <si>
    <t>0.874 ± 0.082</t>
  </si>
  <si>
    <t>38.148 ± 0.556</t>
  </si>
  <si>
    <t>0.4055 ± 0.0380</t>
  </si>
  <si>
    <t>0.866 ± 0.077</t>
  </si>
  <si>
    <t>36.810 ± 1.264</t>
  </si>
  <si>
    <t>0.4166 ± 0.0341</t>
  </si>
  <si>
    <t>0.953 ± 0.237</t>
  </si>
  <si>
    <t>32.855 ± 1.699</t>
  </si>
  <si>
    <t>0.5127 ± 0.1248</t>
  </si>
  <si>
    <t>0.506 ± 0.050</t>
  </si>
  <si>
    <t>34.310 ± 2.149</t>
  </si>
  <si>
    <t>0.2607 ± 0.0181</t>
  </si>
  <si>
    <t>0.643 ± 0.073</t>
  </si>
  <si>
    <t>32.742 ± 1.121</t>
  </si>
  <si>
    <t>0.3487 ± 0.0455</t>
  </si>
  <si>
    <t>0.991 ± 0.324</t>
  </si>
  <si>
    <t>33.769 ± 0.858</t>
  </si>
  <si>
    <t>0.5223 ± 0.1767</t>
  </si>
  <si>
    <t>0.554 ± 0.037</t>
  </si>
  <si>
    <t>37.415 ± 1.556</t>
  </si>
  <si>
    <t>0.2622 ± 0.0182</t>
  </si>
  <si>
    <t>0.964 ± 0.072</t>
  </si>
  <si>
    <t>35.199 ± 0.789</t>
  </si>
  <si>
    <t>0.4846 ± 0.0332</t>
  </si>
  <si>
    <t>0.461 ± 0.034</t>
  </si>
  <si>
    <t>34.933 ± 0.604</t>
  </si>
  <si>
    <t>0.2337 ± 0.0179</t>
  </si>
  <si>
    <t>0.728 ± 0.062</t>
  </si>
  <si>
    <t>33.564 ± 0.624</t>
  </si>
  <si>
    <t>0.3839 ± 0.0343</t>
  </si>
  <si>
    <t>0.522 ± 0.027</t>
  </si>
  <si>
    <t>37.426 ± 2.122</t>
  </si>
  <si>
    <t>0.2477 ± 0.0223</t>
  </si>
  <si>
    <t>0.885 ± 0.223</t>
  </si>
  <si>
    <t>33.910 ± 1.016</t>
  </si>
  <si>
    <t>0.4636 ± 0.1223</t>
  </si>
  <si>
    <t>0.685 ± 0.225</t>
  </si>
  <si>
    <t>37.269 ± 0.939</t>
  </si>
  <si>
    <t>0.3252 ± 0.1050</t>
  </si>
  <si>
    <t>0.583 ± 0.039</t>
  </si>
  <si>
    <t>32.672 ± 0.611</t>
  </si>
  <si>
    <t>0.3160 ± 0.0256</t>
  </si>
  <si>
    <t>0.524 ± 0.026</t>
  </si>
  <si>
    <t>33.903 ± 0.778</t>
  </si>
  <si>
    <t>0.2737 ± 0.0161</t>
  </si>
  <si>
    <t>1.083 ± 0.086</t>
  </si>
  <si>
    <t>32.318 ± 0.685</t>
  </si>
  <si>
    <t>0.5933 ± 0.0449</t>
  </si>
  <si>
    <t>0.549 ± 0.026</t>
  </si>
  <si>
    <t>35.355 ± 1.235</t>
  </si>
  <si>
    <t xml:space="preserve">0.2751 ± 0.0176 </t>
  </si>
  <si>
    <t xml:space="preserve">0.461 ± 0.039 </t>
  </si>
  <si>
    <t>36.710 ± 0.655</t>
  </si>
  <si>
    <t>0.2222 ± 0.0186</t>
  </si>
  <si>
    <t>1.053 ± 0.043</t>
  </si>
  <si>
    <t>33.278 ± 0.731</t>
  </si>
  <si>
    <t>0.5606 ± 0.0274</t>
  </si>
  <si>
    <t>0.462 ± 0.051</t>
  </si>
  <si>
    <t>32.020 ± 1.193</t>
  </si>
  <si>
    <t xml:space="preserve">0.2559 ± 0.0315 </t>
  </si>
  <si>
    <t>0.797 ± 0.059</t>
  </si>
  <si>
    <t>34.910 ± 0.961</t>
  </si>
  <si>
    <t>0.4047 ± 0.0371</t>
  </si>
  <si>
    <t>0.970 ± 0.047</t>
  </si>
  <si>
    <t>27.873 ± 0.764</t>
  </si>
  <si>
    <t>0.6170 ± 0.0420</t>
  </si>
  <si>
    <t>0.554 ± 0.030</t>
  </si>
  <si>
    <t>31.849 ± 0.925</t>
  </si>
  <si>
    <t>0.3084 ± 0.0195</t>
  </si>
  <si>
    <t>0.936 ± 0.087</t>
  </si>
  <si>
    <t>35.952 ± 1.583</t>
  </si>
  <si>
    <t>0.4626 ± 0.0563</t>
  </si>
  <si>
    <t>0.498 ± 0.018</t>
  </si>
  <si>
    <t>36.678 ± 0.938</t>
  </si>
  <si>
    <t>0.2403 ± 0.0104</t>
  </si>
  <si>
    <t>0.529 ± 0.052</t>
  </si>
  <si>
    <t>37.851 ± 0.856</t>
  </si>
  <si>
    <t>0.2477 ± 0.0274</t>
  </si>
  <si>
    <t>0.651 ± 0.102</t>
  </si>
  <si>
    <t>35.694 ± 1.537</t>
  </si>
  <si>
    <t>0.3240 ± 0.0567</t>
  </si>
  <si>
    <t>0.797 ± 0.277</t>
  </si>
  <si>
    <t>30.099 ± 2.016</t>
  </si>
  <si>
    <t>0.4637 ± 0.1358</t>
  </si>
  <si>
    <t>0.877 ± 0.043</t>
  </si>
  <si>
    <t>33.636 ± 1.736</t>
  </si>
  <si>
    <t>0.4624 ± 0.0323</t>
  </si>
  <si>
    <t>0.453 ± 0.039</t>
  </si>
  <si>
    <t>32.484 ± 0.850</t>
  </si>
  <si>
    <t>0.2471 ± 0.0201</t>
  </si>
  <si>
    <t>0.905 ± 0.096</t>
  </si>
  <si>
    <t>37.908 ± 0.796</t>
  </si>
  <si>
    <t>0.4220 ± 0.0388</t>
  </si>
  <si>
    <t>1.091 ± 0.103</t>
  </si>
  <si>
    <t>31.811 ± 0.374</t>
  </si>
  <si>
    <t>0.6073 ± 0.0557</t>
  </si>
  <si>
    <t>0.918 ± 0.079</t>
  </si>
  <si>
    <t>34.113 ± 0.453</t>
  </si>
  <si>
    <t>0.4765 ± 0.0468</t>
  </si>
  <si>
    <t>0.565 ± 0.055</t>
  </si>
  <si>
    <t>33.128 ± 1.263</t>
  </si>
  <si>
    <t>0.3027 ± 0.0363</t>
  </si>
  <si>
    <t>1.006 ± 0.067</t>
  </si>
  <si>
    <t>36.015 ± 0.768</t>
  </si>
  <si>
    <t>0.4947 ± 0.0328</t>
  </si>
  <si>
    <t>0.982 ± 0.153</t>
  </si>
  <si>
    <t>36.664 ± 0.857</t>
  </si>
  <si>
    <t>0.4753 ± 0.0809</t>
  </si>
  <si>
    <t>0.936 ± 0.105</t>
  </si>
  <si>
    <t>36.475 ± 0.848</t>
  </si>
  <si>
    <t>0.4552 ± 0.0591</t>
  </si>
  <si>
    <t>0.606 ± 0.035</t>
  </si>
  <si>
    <t>29.658 ± 0.435</t>
  </si>
  <si>
    <t>0.3618 ± 0.0221</t>
  </si>
  <si>
    <t>0.657 ± 0.136</t>
  </si>
  <si>
    <t>32.680 ± 0.813</t>
  </si>
  <si>
    <t>0.3566 ± 0.0769</t>
  </si>
  <si>
    <t>0.515 ± 0.062</t>
  </si>
  <si>
    <t>33.255 ± 1.772</t>
  </si>
  <si>
    <t>0.2755 ± 0.0406</t>
  </si>
  <si>
    <t>0.818 ± 0.054</t>
  </si>
  <si>
    <t>32.251 ± 1.034</t>
  </si>
  <si>
    <t>0.4495 ± 0.0385</t>
  </si>
  <si>
    <t>0.471 ± 0.019</t>
  </si>
  <si>
    <t>33.430 ± 0.597</t>
  </si>
  <si>
    <t>0.2495 ± 0.0141</t>
  </si>
  <si>
    <t>0.896 ± 0.125</t>
  </si>
  <si>
    <t>33.886 ± 3.523</t>
  </si>
  <si>
    <t>0.4674 ± 0.0353</t>
  </si>
  <si>
    <t>0.552 ± 0.039</t>
  </si>
  <si>
    <t>31.570 ± 1.986</t>
  </si>
  <si>
    <t>0.3115 ± 0.0388</t>
  </si>
  <si>
    <t>1.040 ± 0.145</t>
  </si>
  <si>
    <t>34.147 ± 1.383</t>
  </si>
  <si>
    <t>0.5404 ± 0.0815</t>
  </si>
  <si>
    <t>0.545 ± 0.053</t>
  </si>
  <si>
    <t>31.897 ± 1.993</t>
  </si>
  <si>
    <t>0.3021 ± 0.0215</t>
  </si>
  <si>
    <t>0.930 ± 0.171</t>
  </si>
  <si>
    <t>32.185 ± 0.909</t>
  </si>
  <si>
    <t>0.5124 ± 0.1011</t>
  </si>
  <si>
    <t>0.766 ± 0.137</t>
  </si>
  <si>
    <t>31.971 ± 0.544</t>
  </si>
  <si>
    <t>0.4244 ± 0.0780</t>
  </si>
  <si>
    <t>0.500 ± 0.170</t>
  </si>
  <si>
    <t>33.548 ± 1.573</t>
  </si>
  <si>
    <t>0.2672 ± 0.1030</t>
  </si>
  <si>
    <t>0.565 ± 0.082</t>
  </si>
  <si>
    <t>33.600 ± 2.397</t>
  </si>
  <si>
    <t>0.2992 ± 0.0505</t>
  </si>
  <si>
    <t>0.559 ± 0.054</t>
  </si>
  <si>
    <t>26.689 ± 1.079</t>
  </si>
  <si>
    <t>0.3711 ± 0.0390</t>
  </si>
  <si>
    <t>0.949 ± 0.082</t>
  </si>
  <si>
    <t>32.249 ± 0.293</t>
  </si>
  <si>
    <t>0.5213 ± 0.0470</t>
  </si>
  <si>
    <t>0.517 ± 0.057</t>
  </si>
  <si>
    <t>30.902 ± 6.912</t>
  </si>
  <si>
    <t>0.3134 ± 0.0924</t>
  </si>
  <si>
    <t>0.909 ± 0.157</t>
  </si>
  <si>
    <t>30.938 ± 3.053</t>
  </si>
  <si>
    <t>0.5191 ± 0.0705</t>
  </si>
  <si>
    <t>1.138 ± 0.117</t>
  </si>
  <si>
    <t>28.198 ± 2.167</t>
  </si>
  <si>
    <t>0.7191 ± 0.0966</t>
  </si>
  <si>
    <t>1.088 ± 0.076</t>
  </si>
  <si>
    <t>31.721 ± 0.841</t>
  </si>
  <si>
    <t>0.6071 ± 0.0393</t>
  </si>
  <si>
    <t>0.709 ± 0.063</t>
  </si>
  <si>
    <t>34.824 ± 1.129</t>
  </si>
  <si>
    <t>0.3602 ± 0.0293</t>
  </si>
  <si>
    <t>0.781 ± 0.051</t>
  </si>
  <si>
    <t>33.794 ± 0.824</t>
  </si>
  <si>
    <t>0.4093 ± 0.0280</t>
  </si>
  <si>
    <t>0.564 ± 0.114</t>
  </si>
  <si>
    <t>32.626 ± 1.969</t>
  </si>
  <si>
    <t>0.3100 ± 0.0852</t>
  </si>
  <si>
    <t>1.118 ± 0.072</t>
  </si>
  <si>
    <t>33.237 ± 1.023</t>
  </si>
  <si>
    <t>0.5956 ± 0.0360</t>
  </si>
  <si>
    <t>0.595 ± 0.034</t>
  </si>
  <si>
    <t xml:space="preserve">30.162 ± 0.930 </t>
  </si>
  <si>
    <t>0.3499 ± 0.0270</t>
  </si>
  <si>
    <t>0.786 ± 0.056</t>
  </si>
  <si>
    <t>31.681 ± 1.010</t>
  </si>
  <si>
    <t>0.4395 ± 0.0347</t>
  </si>
  <si>
    <t>1.018 ± 0.156</t>
  </si>
  <si>
    <t>28.228 ± 0.933</t>
  </si>
  <si>
    <t>0.6390 ± 0.1004</t>
  </si>
  <si>
    <t>0.474 ± 0.032</t>
  </si>
  <si>
    <t>33.408 ± 1.355</t>
  </si>
  <si>
    <t>0.2522 ± 0.0258</t>
  </si>
  <si>
    <t>0.744 ± 0.112</t>
  </si>
  <si>
    <t>30.963 ± 0.554</t>
  </si>
  <si>
    <t xml:space="preserve">0.4248 ± 0.0611 </t>
  </si>
  <si>
    <t>0.968 ± 0.114</t>
  </si>
  <si>
    <t>31.105 ± 0.522</t>
  </si>
  <si>
    <t xml:space="preserve">0.5509 ± 0.0674 </t>
  </si>
  <si>
    <t>0.974 ± 0.197</t>
  </si>
  <si>
    <t>35.154 ± 0.439</t>
  </si>
  <si>
    <t>0.4905 ± 0.0999</t>
  </si>
  <si>
    <t>1.064 ± 0.184</t>
  </si>
  <si>
    <t>36.613 ± 0.754</t>
  </si>
  <si>
    <t>0.5151 ± 0.0901</t>
  </si>
  <si>
    <t xml:space="preserve">0.624 ± 0.231 </t>
  </si>
  <si>
    <t>35.641 ± 1.052</t>
  </si>
  <si>
    <t>0.3123 ± 0.1216</t>
  </si>
  <si>
    <t>0.797 ± 0.060</t>
  </si>
  <si>
    <t>32.697 ± 0.420</t>
  </si>
  <si>
    <t>0.4315 ± 0.0306</t>
  </si>
  <si>
    <t>0.544 ± 0.054</t>
  </si>
  <si>
    <t>36.392 ± 1.740</t>
  </si>
  <si>
    <t>0.2654 ± 0.0340</t>
  </si>
  <si>
    <t>0.702 ± 0.159</t>
  </si>
  <si>
    <t>32.685 ± 2.847</t>
  </si>
  <si>
    <t>0.3816 ± 0.0860</t>
  </si>
  <si>
    <t>1.001 ± 0.211</t>
  </si>
  <si>
    <t>30.241 ± 1.117</t>
  </si>
  <si>
    <t>0.5868 ± 0.1238</t>
  </si>
  <si>
    <t>0.578 ± 0.041</t>
  </si>
  <si>
    <t>30.241 ± 1.506</t>
  </si>
  <si>
    <t>0.3395 ± 0.0348</t>
  </si>
  <si>
    <t>0.520 ± 0.069</t>
  </si>
  <si>
    <t>33.100 ± 1.395</t>
  </si>
  <si>
    <t>0.2781 ± 0.0317</t>
  </si>
  <si>
    <t>1.143 ± 0.065</t>
  </si>
  <si>
    <t>33.704 ± 1.811</t>
  </si>
  <si>
    <t>0.6007 ± 0.0265</t>
  </si>
  <si>
    <t>0.517 ± 0.032</t>
  </si>
  <si>
    <t>32.573 ± 1.177</t>
  </si>
  <si>
    <t>0.2808 ± 0.0159</t>
  </si>
  <si>
    <t>0.636 ± 0.166</t>
  </si>
  <si>
    <t>37.422 ± 0.744</t>
  </si>
  <si>
    <t>0.3002 ± 0.0765</t>
  </si>
  <si>
    <t>1.001 ± 0.153</t>
  </si>
  <si>
    <t>22.383 ± 3.766</t>
  </si>
  <si>
    <t>0.7973 ± 0.0970</t>
  </si>
  <si>
    <t>0.521 ± 0.048</t>
  </si>
  <si>
    <t>32.331 ± 1.290</t>
  </si>
  <si>
    <t>0.2865 ± 0.0385</t>
  </si>
  <si>
    <t>0.907 ± 0.093</t>
  </si>
  <si>
    <t>33.389 ± 2.726</t>
  </si>
  <si>
    <t>0.4852 ± 0.0698</t>
  </si>
  <si>
    <t>1.034 ± 0.067</t>
  </si>
  <si>
    <t>35.179 ± 1.042</t>
  </si>
  <si>
    <t>0.5202 ± 0.0295</t>
  </si>
  <si>
    <t>0.956 ± 0.058</t>
  </si>
  <si>
    <t>32.406 ± 1.935</t>
  </si>
  <si>
    <t xml:space="preserve">0.5229 ± 0.0269 </t>
  </si>
  <si>
    <t xml:space="preserve">0.993 ± 0.088 </t>
  </si>
  <si>
    <t>30.201 ± 1.606</t>
  </si>
  <si>
    <t>0.5841 ± 0.0684</t>
  </si>
  <si>
    <t>0.474 ± 0.022</t>
  </si>
  <si>
    <t>35.088 ± 0.930</t>
  </si>
  <si>
    <t>0.2394 ± 0.0129</t>
  </si>
  <si>
    <t>1.026 ± 0.061</t>
  </si>
  <si>
    <t>34.722 ± 2.565</t>
  </si>
  <si>
    <t>0.5249 ± 0.0435</t>
  </si>
  <si>
    <t>0.635 ± 0.181</t>
  </si>
  <si>
    <t>33.979 ± 1.969</t>
  </si>
  <si>
    <t>0.3360 ± 0.1107</t>
  </si>
  <si>
    <t>0.506 ± 0.032</t>
  </si>
  <si>
    <t>34.020 ± 0.971</t>
  </si>
  <si>
    <t>0.2637 ± 0.0213</t>
  </si>
  <si>
    <t>1.095 ± 0.061</t>
  </si>
  <si>
    <t>34.886 ± 0.449</t>
  </si>
  <si>
    <t>0.5557 ± 0.0323</t>
  </si>
  <si>
    <t>1.137 ± 0.080</t>
  </si>
  <si>
    <t>32.712 ± 0.900</t>
  </si>
  <si>
    <t>0.6150 ± 0.0380</t>
  </si>
  <si>
    <t>0.851 ± 0.071</t>
  </si>
  <si>
    <t>31.143 ± 0.744</t>
  </si>
  <si>
    <t>0.4842 ± 0.0434</t>
  </si>
  <si>
    <t>0.469 ± 0.026</t>
  </si>
  <si>
    <t>33.449 ± 1.930</t>
  </si>
  <si>
    <t>0.2484 ± 0.0142</t>
  </si>
  <si>
    <t>0.500 ± 0.037</t>
  </si>
  <si>
    <t>37.783 ± 1.156</t>
  </si>
  <si>
    <t>0.2347 ± 0.0207</t>
  </si>
  <si>
    <t>1.041 ± 0.197</t>
  </si>
  <si>
    <t>34.081 ± 1.031</t>
  </si>
  <si>
    <t>0.5400 ± 0.0967</t>
  </si>
  <si>
    <t>0.885 ± 0.058</t>
  </si>
  <si>
    <t>34.204 ± 1.700</t>
  </si>
  <si>
    <t>0.4582 ± 0.0278</t>
  </si>
  <si>
    <t>1.027 ± 0.113</t>
  </si>
  <si>
    <t>36.599 ± 0.406</t>
  </si>
  <si>
    <t>0.4963 ± 0.0504</t>
  </si>
  <si>
    <t>0.460 ± 0.086</t>
  </si>
  <si>
    <t>31.856 ± 1.310</t>
  </si>
  <si>
    <t>0.2542 ± 0.0362</t>
  </si>
  <si>
    <t>0.632 ± 0.084</t>
  </si>
  <si>
    <t>36.065 ± 3.700</t>
  </si>
  <si>
    <t>0.3134 ± 0.0555</t>
  </si>
  <si>
    <t>0.738 ± 0.092</t>
  </si>
  <si>
    <t>37.474 ± 0.919</t>
  </si>
  <si>
    <t>0.3496 ± 0.0518</t>
  </si>
  <si>
    <t xml:space="preserve">31.038 ± 0.053 </t>
  </si>
  <si>
    <t>0.945 ± 0.040</t>
  </si>
  <si>
    <t>33.921 ± 1.785</t>
  </si>
  <si>
    <t>0.4941 ± 0.0297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</si>
</sst>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1F1F1F"/>
      <name val="Courier New"/>
      <family val="3"/>
    </font>
    <font>
      <sz val="8"/>
      <color rgb="FF081B3A"/>
      <name val="Segoe UI"/>
      <family val="2"/>
    </font>
    <font>
      <sz val="7"/>
      <color theme="1"/>
      <name val="Courier New"/>
      <family val="3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1"/>
  <sheetViews>
    <sheetView tabSelected="1" topLeftCell="A39" zoomScale="108" zoomScaleNormal="108" workbookViewId="0">
      <selection activeCell="L45" sqref="L45"/>
    </sheetView>
  </sheetViews>
  <sheetFormatPr defaultRowHeight="14.5" x14ac:dyDescent="0.35"/>
  <cols>
    <col min="2" max="2" width="12.1796875" customWidth="1"/>
    <col min="6" max="6" width="12.54296875" customWidth="1"/>
    <col min="7" max="7" width="11.7265625" customWidth="1"/>
    <col min="8" max="8" width="12.90625" customWidth="1"/>
    <col min="9" max="9" width="13.81640625" customWidth="1"/>
    <col min="10" max="10" width="13.90625" customWidth="1"/>
    <col min="11" max="11" width="12" customWidth="1"/>
    <col min="13" max="13" width="14.1796875" customWidth="1"/>
  </cols>
  <sheetData>
    <row r="1" spans="1:13" x14ac:dyDescent="0.35">
      <c r="A1" t="s">
        <v>6</v>
      </c>
      <c r="B1" t="s">
        <v>0</v>
      </c>
      <c r="C1" t="s">
        <v>43</v>
      </c>
      <c r="D1" t="s">
        <v>1</v>
      </c>
      <c r="E1" t="s">
        <v>42</v>
      </c>
      <c r="F1" t="s">
        <v>50</v>
      </c>
      <c r="G1" t="s">
        <v>51</v>
      </c>
      <c r="H1" t="s">
        <v>52</v>
      </c>
      <c r="I1" t="s">
        <v>39</v>
      </c>
      <c r="J1" t="s">
        <v>2</v>
      </c>
      <c r="K1" t="s">
        <v>3</v>
      </c>
      <c r="L1" t="s">
        <v>40</v>
      </c>
      <c r="M1" t="s">
        <v>41</v>
      </c>
    </row>
    <row r="2" spans="1:13" x14ac:dyDescent="0.35">
      <c r="A2" s="1" t="s">
        <v>7</v>
      </c>
      <c r="B2" t="str">
        <f>CONCATENATE(C2,A2,E2)</f>
        <v>C011</v>
      </c>
      <c r="C2" t="s">
        <v>37</v>
      </c>
      <c r="D2" t="s">
        <v>4</v>
      </c>
      <c r="E2">
        <v>1</v>
      </c>
      <c r="F2" s="2" t="s">
        <v>135</v>
      </c>
      <c r="G2" s="2" t="s">
        <v>136</v>
      </c>
      <c r="H2" s="2" t="s">
        <v>137</v>
      </c>
      <c r="I2" s="2" t="str">
        <f>LEFT(F2,5)</f>
        <v>1.152</v>
      </c>
      <c r="J2" s="2" t="str">
        <f>LEFT(G2,6)</f>
        <v>33.509</v>
      </c>
      <c r="K2" s="2" t="str">
        <f>LEFT(H2,6)</f>
        <v>0.6095</v>
      </c>
      <c r="L2" s="3">
        <v>10.71</v>
      </c>
      <c r="M2">
        <f>((10.71-L2)/10.71)*100</f>
        <v>0</v>
      </c>
    </row>
    <row r="3" spans="1:13" x14ac:dyDescent="0.35">
      <c r="A3" s="1" t="s">
        <v>8</v>
      </c>
      <c r="B3" t="str">
        <f t="shared" ref="B3:B66" si="0">CONCATENATE(C3,A3,E3)</f>
        <v>C021</v>
      </c>
      <c r="C3" t="s">
        <v>37</v>
      </c>
      <c r="D3" t="s">
        <v>4</v>
      </c>
      <c r="E3">
        <v>1</v>
      </c>
      <c r="F3" s="2" t="s">
        <v>139</v>
      </c>
      <c r="G3" s="2" t="s">
        <v>138</v>
      </c>
      <c r="H3" s="2" t="s">
        <v>140</v>
      </c>
      <c r="I3" s="2" t="str">
        <f t="shared" ref="I3:I66" si="1">LEFT(F3,5)</f>
        <v>1.160</v>
      </c>
      <c r="J3" s="2" t="str">
        <f t="shared" ref="J3:J68" si="2">LEFT(G3,6)</f>
        <v>32.782</v>
      </c>
      <c r="K3" s="2" t="str">
        <f t="shared" ref="K3:K66" si="3">LEFT(H3,6)</f>
        <v>0.6280</v>
      </c>
      <c r="L3" s="3">
        <v>11.03</v>
      </c>
      <c r="M3">
        <f>((11.03-L3)/11.03)*100</f>
        <v>0</v>
      </c>
    </row>
    <row r="4" spans="1:13" x14ac:dyDescent="0.35">
      <c r="A4" s="1" t="s">
        <v>21</v>
      </c>
      <c r="B4" t="str">
        <f t="shared" si="0"/>
        <v>C031</v>
      </c>
      <c r="C4" t="s">
        <v>37</v>
      </c>
      <c r="D4" t="s">
        <v>4</v>
      </c>
      <c r="E4">
        <v>1</v>
      </c>
      <c r="F4" s="2" t="s">
        <v>143</v>
      </c>
      <c r="G4" s="2" t="s">
        <v>142</v>
      </c>
      <c r="H4" s="2" t="s">
        <v>141</v>
      </c>
      <c r="I4" s="2" t="str">
        <f t="shared" si="1"/>
        <v>1.118</v>
      </c>
      <c r="J4" s="2" t="str">
        <f t="shared" si="2"/>
        <v>32.301</v>
      </c>
      <c r="K4" s="2" t="str">
        <f t="shared" si="3"/>
        <v>0.6138</v>
      </c>
      <c r="L4" s="3">
        <v>8.99</v>
      </c>
      <c r="M4">
        <f>((8.99-L4)/8.99)*100</f>
        <v>0</v>
      </c>
    </row>
    <row r="5" spans="1:13" x14ac:dyDescent="0.35">
      <c r="A5" s="1" t="s">
        <v>9</v>
      </c>
      <c r="B5" t="str">
        <f t="shared" si="0"/>
        <v>C041</v>
      </c>
      <c r="C5" t="s">
        <v>37</v>
      </c>
      <c r="D5" t="s">
        <v>4</v>
      </c>
      <c r="E5">
        <v>1</v>
      </c>
      <c r="F5" s="2" t="s">
        <v>145</v>
      </c>
      <c r="G5" s="2" t="s">
        <v>144</v>
      </c>
      <c r="H5" s="2" t="s">
        <v>146</v>
      </c>
      <c r="I5" s="2" t="str">
        <f t="shared" si="1"/>
        <v>0.752</v>
      </c>
      <c r="J5" s="2" t="str">
        <f t="shared" si="2"/>
        <v>33.194</v>
      </c>
      <c r="K5" s="2" t="str">
        <f t="shared" si="3"/>
        <v>0.4018</v>
      </c>
      <c r="L5" s="3">
        <v>12.82</v>
      </c>
      <c r="M5">
        <f>((12.82-L5)/12.82)*100</f>
        <v>0</v>
      </c>
    </row>
    <row r="6" spans="1:13" x14ac:dyDescent="0.35">
      <c r="A6" s="1" t="s">
        <v>10</v>
      </c>
      <c r="B6" t="str">
        <f t="shared" si="0"/>
        <v>C051</v>
      </c>
      <c r="C6" t="s">
        <v>37</v>
      </c>
      <c r="D6" t="s">
        <v>4</v>
      </c>
      <c r="E6">
        <v>1</v>
      </c>
      <c r="F6" s="2" t="s">
        <v>148</v>
      </c>
      <c r="G6" s="2" t="s">
        <v>147</v>
      </c>
      <c r="H6" s="2" t="s">
        <v>149</v>
      </c>
      <c r="I6" s="2" t="str">
        <f t="shared" si="1"/>
        <v>0.933</v>
      </c>
      <c r="J6" s="2" t="str">
        <f t="shared" si="2"/>
        <v>34.023</v>
      </c>
      <c r="K6" s="2" t="str">
        <f t="shared" si="3"/>
        <v>0.4868</v>
      </c>
      <c r="L6" s="3">
        <v>11.24</v>
      </c>
      <c r="M6">
        <f>((11.24-L6)/11.24)*100</f>
        <v>0</v>
      </c>
    </row>
    <row r="7" spans="1:13" x14ac:dyDescent="0.35">
      <c r="A7" s="1" t="s">
        <v>11</v>
      </c>
      <c r="B7" t="str">
        <f t="shared" si="0"/>
        <v>C061</v>
      </c>
      <c r="C7" t="s">
        <v>37</v>
      </c>
      <c r="D7" t="s">
        <v>4</v>
      </c>
      <c r="E7">
        <v>1</v>
      </c>
      <c r="F7" s="2" t="s">
        <v>151</v>
      </c>
      <c r="G7" s="2" t="s">
        <v>150</v>
      </c>
      <c r="H7" s="2" t="s">
        <v>152</v>
      </c>
      <c r="I7" s="2" t="str">
        <f t="shared" si="1"/>
        <v>1.000</v>
      </c>
      <c r="J7" s="2" t="str">
        <f t="shared" si="2"/>
        <v>36.977</v>
      </c>
      <c r="K7" s="2" t="str">
        <f t="shared" si="3"/>
        <v>0.4803</v>
      </c>
      <c r="L7" s="3">
        <v>9.49</v>
      </c>
      <c r="M7">
        <f>((9.49-L7)/9.49)*100</f>
        <v>0</v>
      </c>
    </row>
    <row r="8" spans="1:13" x14ac:dyDescent="0.35">
      <c r="A8" s="1" t="s">
        <v>12</v>
      </c>
      <c r="B8" t="str">
        <f t="shared" si="0"/>
        <v>C071</v>
      </c>
      <c r="C8" t="s">
        <v>37</v>
      </c>
      <c r="D8" t="s">
        <v>4</v>
      </c>
      <c r="E8">
        <v>1</v>
      </c>
      <c r="F8" s="2" t="s">
        <v>155</v>
      </c>
      <c r="G8" s="2" t="s">
        <v>154</v>
      </c>
      <c r="H8" s="2" t="s">
        <v>153</v>
      </c>
      <c r="I8" s="2" t="str">
        <f t="shared" si="1"/>
        <v>0.901</v>
      </c>
      <c r="J8" s="2" t="str">
        <f t="shared" si="2"/>
        <v>26.925</v>
      </c>
      <c r="K8" s="2" t="str">
        <f t="shared" si="3"/>
        <v>0.5947</v>
      </c>
      <c r="L8" s="3">
        <v>12.19</v>
      </c>
      <c r="M8">
        <f>((12.19-L8)/12.19)*100</f>
        <v>0</v>
      </c>
    </row>
    <row r="9" spans="1:13" x14ac:dyDescent="0.35">
      <c r="A9" s="1" t="s">
        <v>13</v>
      </c>
      <c r="B9" t="str">
        <f t="shared" si="0"/>
        <v>C081</v>
      </c>
      <c r="C9" t="s">
        <v>37</v>
      </c>
      <c r="D9" t="s">
        <v>4</v>
      </c>
      <c r="E9">
        <v>1</v>
      </c>
      <c r="F9" s="2" t="s">
        <v>156</v>
      </c>
      <c r="G9" s="2" t="s">
        <v>157</v>
      </c>
      <c r="H9" s="2" t="s">
        <v>158</v>
      </c>
      <c r="I9" s="2" t="str">
        <f t="shared" si="1"/>
        <v>1.032</v>
      </c>
      <c r="J9" s="2" t="str">
        <f t="shared" si="2"/>
        <v>31.578</v>
      </c>
      <c r="K9" s="2" t="str">
        <f t="shared" si="3"/>
        <v>0.5811</v>
      </c>
      <c r="L9" s="3">
        <v>9.02</v>
      </c>
      <c r="M9">
        <f>((9.02-L9)/9.02)*100</f>
        <v>0</v>
      </c>
    </row>
    <row r="10" spans="1:13" x14ac:dyDescent="0.35">
      <c r="A10" s="1" t="s">
        <v>14</v>
      </c>
      <c r="B10" t="str">
        <f t="shared" si="0"/>
        <v>C091</v>
      </c>
      <c r="C10" t="s">
        <v>37</v>
      </c>
      <c r="D10" t="s">
        <v>4</v>
      </c>
      <c r="E10">
        <v>1</v>
      </c>
      <c r="F10" s="2" t="s">
        <v>161</v>
      </c>
      <c r="G10" s="2" t="s">
        <v>159</v>
      </c>
      <c r="H10" s="2" t="s">
        <v>160</v>
      </c>
      <c r="I10" s="2" t="str">
        <f t="shared" si="1"/>
        <v>1.051</v>
      </c>
      <c r="J10" s="2" t="str">
        <f t="shared" si="2"/>
        <v>34.006</v>
      </c>
      <c r="K10" s="2" t="str">
        <f t="shared" si="3"/>
        <v>0.5470</v>
      </c>
      <c r="L10" s="3">
        <v>8.66</v>
      </c>
      <c r="M10">
        <f>((8.66-L10)/8.66)*100</f>
        <v>0</v>
      </c>
    </row>
    <row r="11" spans="1:13" x14ac:dyDescent="0.35">
      <c r="A11" s="1" t="s">
        <v>15</v>
      </c>
      <c r="B11" t="str">
        <f t="shared" si="0"/>
        <v>C101</v>
      </c>
      <c r="C11" t="s">
        <v>37</v>
      </c>
      <c r="D11" t="s">
        <v>4</v>
      </c>
      <c r="E11">
        <v>1</v>
      </c>
      <c r="F11" s="2" t="s">
        <v>163</v>
      </c>
      <c r="G11" s="2" t="s">
        <v>162</v>
      </c>
      <c r="H11" s="2" t="s">
        <v>164</v>
      </c>
      <c r="I11" s="2" t="str">
        <f t="shared" si="1"/>
        <v>0.995</v>
      </c>
      <c r="J11" s="2" t="str">
        <f t="shared" si="2"/>
        <v>31.508</v>
      </c>
      <c r="K11" s="2" t="str">
        <f t="shared" si="3"/>
        <v>0.5591</v>
      </c>
      <c r="L11" s="3">
        <v>12.87</v>
      </c>
      <c r="M11">
        <f>((12.87-L11)/12.87)*100</f>
        <v>0</v>
      </c>
    </row>
    <row r="12" spans="1:13" x14ac:dyDescent="0.35">
      <c r="A12" s="1" t="s">
        <v>16</v>
      </c>
      <c r="B12" t="str">
        <f t="shared" si="0"/>
        <v>C111</v>
      </c>
      <c r="C12" t="s">
        <v>37</v>
      </c>
      <c r="D12" t="s">
        <v>4</v>
      </c>
      <c r="E12">
        <v>1</v>
      </c>
      <c r="F12" s="2" t="s">
        <v>166</v>
      </c>
      <c r="G12" s="2" t="s">
        <v>165</v>
      </c>
      <c r="H12" s="2" t="s">
        <v>167</v>
      </c>
      <c r="I12" s="2" t="str">
        <f t="shared" si="1"/>
        <v>0.999</v>
      </c>
      <c r="J12" s="2" t="str">
        <f t="shared" si="2"/>
        <v>33.362</v>
      </c>
      <c r="K12" s="2" t="str">
        <f t="shared" si="3"/>
        <v>0.5305</v>
      </c>
      <c r="L12" s="3">
        <v>8.02</v>
      </c>
      <c r="M12">
        <f>((8.02-L12)/8.02)*100</f>
        <v>0</v>
      </c>
    </row>
    <row r="13" spans="1:13" x14ac:dyDescent="0.35">
      <c r="A13" s="1" t="s">
        <v>17</v>
      </c>
      <c r="B13" t="str">
        <f t="shared" si="0"/>
        <v>C121</v>
      </c>
      <c r="C13" t="s">
        <v>37</v>
      </c>
      <c r="D13" t="s">
        <v>4</v>
      </c>
      <c r="E13">
        <v>1</v>
      </c>
      <c r="F13" s="2" t="s">
        <v>169</v>
      </c>
      <c r="G13" s="2" t="s">
        <v>168</v>
      </c>
      <c r="H13" s="2" t="s">
        <v>170</v>
      </c>
      <c r="I13" s="2" t="str">
        <f t="shared" si="1"/>
        <v>0.642</v>
      </c>
      <c r="J13" s="2" t="str">
        <f t="shared" si="2"/>
        <v>25.055</v>
      </c>
      <c r="K13" s="2" t="str">
        <f t="shared" si="3"/>
        <v>0.4552</v>
      </c>
      <c r="L13" s="3">
        <v>9.02</v>
      </c>
      <c r="M13">
        <f>((9.02-L13)/9.02)*100</f>
        <v>0</v>
      </c>
    </row>
    <row r="14" spans="1:13" x14ac:dyDescent="0.35">
      <c r="A14" s="1" t="s">
        <v>18</v>
      </c>
      <c r="B14" t="str">
        <f t="shared" si="0"/>
        <v>C131</v>
      </c>
      <c r="C14" t="s">
        <v>37</v>
      </c>
      <c r="D14" t="s">
        <v>4</v>
      </c>
      <c r="E14">
        <v>1</v>
      </c>
      <c r="F14" s="2" t="s">
        <v>173</v>
      </c>
      <c r="G14" s="2" t="s">
        <v>171</v>
      </c>
      <c r="H14" s="2" t="s">
        <v>172</v>
      </c>
      <c r="I14" s="2" t="str">
        <f t="shared" si="1"/>
        <v>0.893</v>
      </c>
      <c r="J14" s="2" t="str">
        <f t="shared" si="2"/>
        <v>32.023</v>
      </c>
      <c r="K14" s="2" t="str">
        <f t="shared" si="3"/>
        <v>0.4945</v>
      </c>
      <c r="L14" s="3">
        <v>10.68</v>
      </c>
      <c r="M14">
        <f>((10.68-L14)/10.68)*100</f>
        <v>0</v>
      </c>
    </row>
    <row r="15" spans="1:13" x14ac:dyDescent="0.35">
      <c r="A15" s="1" t="s">
        <v>19</v>
      </c>
      <c r="B15" t="str">
        <f t="shared" si="0"/>
        <v>C141</v>
      </c>
      <c r="C15" t="s">
        <v>37</v>
      </c>
      <c r="D15" t="s">
        <v>4</v>
      </c>
      <c r="E15">
        <v>1</v>
      </c>
      <c r="F15" s="2" t="s">
        <v>175</v>
      </c>
      <c r="G15" s="2" t="s">
        <v>174</v>
      </c>
      <c r="H15" s="2" t="s">
        <v>176</v>
      </c>
      <c r="I15" s="2" t="str">
        <f t="shared" si="1"/>
        <v>1.159</v>
      </c>
      <c r="J15" s="2" t="str">
        <f t="shared" si="2"/>
        <v>33.036</v>
      </c>
      <c r="K15" s="2" t="str">
        <f t="shared" si="3"/>
        <v>0.6224</v>
      </c>
      <c r="L15" s="3">
        <v>9.31</v>
      </c>
      <c r="M15">
        <f>((9.31-L15)/9.31)*100</f>
        <v>0</v>
      </c>
    </row>
    <row r="16" spans="1:13" x14ac:dyDescent="0.35">
      <c r="A16" s="1" t="s">
        <v>20</v>
      </c>
      <c r="B16" t="str">
        <f t="shared" si="0"/>
        <v>C151</v>
      </c>
      <c r="C16" t="s">
        <v>37</v>
      </c>
      <c r="D16" t="s">
        <v>4</v>
      </c>
      <c r="E16">
        <v>1</v>
      </c>
      <c r="F16" s="2" t="s">
        <v>179</v>
      </c>
      <c r="G16" s="2" t="s">
        <v>177</v>
      </c>
      <c r="H16" s="2" t="s">
        <v>178</v>
      </c>
      <c r="I16" s="2" t="str">
        <f t="shared" si="1"/>
        <v>0.608</v>
      </c>
      <c r="J16" s="2" t="str">
        <f t="shared" si="2"/>
        <v>30.490</v>
      </c>
      <c r="K16" s="2" t="str">
        <f t="shared" si="3"/>
        <v>0.3561</v>
      </c>
      <c r="L16" s="3">
        <v>12.96</v>
      </c>
      <c r="M16">
        <f>((12.96-L16)/12.96)*100</f>
        <v>0</v>
      </c>
    </row>
    <row r="17" spans="1:13" x14ac:dyDescent="0.35">
      <c r="A17" s="1" t="s">
        <v>22</v>
      </c>
      <c r="B17" t="str">
        <f t="shared" si="0"/>
        <v>C161</v>
      </c>
      <c r="C17" t="s">
        <v>37</v>
      </c>
      <c r="D17" t="s">
        <v>4</v>
      </c>
      <c r="E17">
        <v>1</v>
      </c>
      <c r="F17" s="2" t="s">
        <v>182</v>
      </c>
      <c r="G17" s="2" t="s">
        <v>180</v>
      </c>
      <c r="H17" s="2" t="s">
        <v>181</v>
      </c>
      <c r="I17" s="2" t="str">
        <f t="shared" si="1"/>
        <v>0.662</v>
      </c>
      <c r="J17" s="2" t="str">
        <f t="shared" si="2"/>
        <v>32.949</v>
      </c>
      <c r="K17" s="2" t="str">
        <f t="shared" si="3"/>
        <v>0.3557</v>
      </c>
      <c r="L17" s="3">
        <v>13.01</v>
      </c>
      <c r="M17">
        <f>((13.01-L17)/13.01)*100</f>
        <v>0</v>
      </c>
    </row>
    <row r="18" spans="1:13" x14ac:dyDescent="0.35">
      <c r="A18" s="1" t="s">
        <v>23</v>
      </c>
      <c r="B18" t="str">
        <f t="shared" si="0"/>
        <v>C171</v>
      </c>
      <c r="C18" t="s">
        <v>37</v>
      </c>
      <c r="D18" t="s">
        <v>4</v>
      </c>
      <c r="E18">
        <v>1</v>
      </c>
      <c r="F18" s="2" t="s">
        <v>184</v>
      </c>
      <c r="G18" s="2" t="s">
        <v>183</v>
      </c>
      <c r="H18" s="2" t="s">
        <v>185</v>
      </c>
      <c r="I18" s="2" t="str">
        <f t="shared" si="1"/>
        <v>0.707</v>
      </c>
      <c r="J18" s="2" t="str">
        <f t="shared" si="2"/>
        <v>22.736</v>
      </c>
      <c r="K18" s="2" t="str">
        <f t="shared" si="3"/>
        <v>0.5510</v>
      </c>
      <c r="L18" s="3">
        <v>8.2799999999999994</v>
      </c>
      <c r="M18">
        <f>((8.28-L18)/8.28)*100</f>
        <v>0</v>
      </c>
    </row>
    <row r="19" spans="1:13" x14ac:dyDescent="0.35">
      <c r="A19" s="1" t="s">
        <v>24</v>
      </c>
      <c r="B19" t="str">
        <f t="shared" si="0"/>
        <v>C181</v>
      </c>
      <c r="C19" t="s">
        <v>37</v>
      </c>
      <c r="D19" t="s">
        <v>4</v>
      </c>
      <c r="E19">
        <v>1</v>
      </c>
      <c r="F19" s="2" t="s">
        <v>188</v>
      </c>
      <c r="G19" s="2" t="s">
        <v>186</v>
      </c>
      <c r="H19" s="2" t="s">
        <v>187</v>
      </c>
      <c r="I19" s="2" t="str">
        <f t="shared" si="1"/>
        <v>0.926</v>
      </c>
      <c r="J19" s="2" t="str">
        <f t="shared" si="2"/>
        <v>33.998</v>
      </c>
      <c r="K19" s="2" t="str">
        <f t="shared" si="3"/>
        <v>0.4836</v>
      </c>
      <c r="L19" s="3">
        <v>8.57</v>
      </c>
      <c r="M19">
        <f>((8.57-L19)/8.57)*100</f>
        <v>0</v>
      </c>
    </row>
    <row r="20" spans="1:13" x14ac:dyDescent="0.35">
      <c r="A20" s="1" t="s">
        <v>25</v>
      </c>
      <c r="B20" t="str">
        <f t="shared" si="0"/>
        <v>C191</v>
      </c>
      <c r="C20" t="s">
        <v>37</v>
      </c>
      <c r="D20" t="s">
        <v>4</v>
      </c>
      <c r="E20">
        <v>1</v>
      </c>
      <c r="F20" s="2" t="s">
        <v>191</v>
      </c>
      <c r="G20" s="2" t="s">
        <v>189</v>
      </c>
      <c r="H20" s="2" t="s">
        <v>190</v>
      </c>
      <c r="I20" s="2" t="str">
        <f t="shared" si="1"/>
        <v>0.972</v>
      </c>
      <c r="J20" s="2" t="str">
        <f t="shared" si="2"/>
        <v>32.652</v>
      </c>
      <c r="K20" s="2" t="str">
        <f t="shared" si="3"/>
        <v>0.5270</v>
      </c>
      <c r="L20" s="3">
        <v>8.7899999999999991</v>
      </c>
      <c r="M20">
        <f>((8.79-L20)/8.79)*100</f>
        <v>0</v>
      </c>
    </row>
    <row r="21" spans="1:13" x14ac:dyDescent="0.35">
      <c r="A21" s="1" t="s">
        <v>26</v>
      </c>
      <c r="B21" t="str">
        <f t="shared" si="0"/>
        <v>C201</v>
      </c>
      <c r="C21" t="s">
        <v>37</v>
      </c>
      <c r="D21" t="s">
        <v>4</v>
      </c>
      <c r="E21">
        <v>1</v>
      </c>
      <c r="F21" s="2" t="s">
        <v>371</v>
      </c>
      <c r="G21" s="2" t="s">
        <v>372</v>
      </c>
      <c r="H21" s="2" t="s">
        <v>373</v>
      </c>
      <c r="I21" s="2" t="str">
        <f t="shared" si="1"/>
        <v>0.837</v>
      </c>
      <c r="J21" s="2" t="str">
        <f t="shared" si="2"/>
        <v>34.077</v>
      </c>
      <c r="K21" s="2" t="str">
        <f t="shared" si="3"/>
        <v>0.4346</v>
      </c>
      <c r="L21" s="3">
        <v>8.56</v>
      </c>
      <c r="M21">
        <f>((8.56-L21)/8.56)*100</f>
        <v>0</v>
      </c>
    </row>
    <row r="22" spans="1:13" x14ac:dyDescent="0.35">
      <c r="A22" s="1" t="s">
        <v>27</v>
      </c>
      <c r="B22" t="str">
        <f t="shared" si="0"/>
        <v>C211</v>
      </c>
      <c r="C22" t="s">
        <v>37</v>
      </c>
      <c r="D22" t="s">
        <v>4</v>
      </c>
      <c r="E22">
        <v>1</v>
      </c>
      <c r="F22" s="2" t="s">
        <v>193</v>
      </c>
      <c r="G22" s="2" t="s">
        <v>192</v>
      </c>
      <c r="H22" s="2" t="s">
        <v>194</v>
      </c>
      <c r="I22" s="2" t="str">
        <f t="shared" si="1"/>
        <v>0.649</v>
      </c>
      <c r="J22" s="2" t="str">
        <f t="shared" si="2"/>
        <v>33.942</v>
      </c>
      <c r="K22" s="2" t="str">
        <f t="shared" si="3"/>
        <v>0.3394</v>
      </c>
      <c r="L22" s="3">
        <v>11.72</v>
      </c>
      <c r="M22">
        <f>((11.72-L22)/11.72)*100</f>
        <v>0</v>
      </c>
    </row>
    <row r="23" spans="1:13" x14ac:dyDescent="0.35">
      <c r="A23" s="1" t="s">
        <v>28</v>
      </c>
      <c r="B23" t="str">
        <f t="shared" si="0"/>
        <v>C221</v>
      </c>
      <c r="C23" t="s">
        <v>37</v>
      </c>
      <c r="D23" t="s">
        <v>4</v>
      </c>
      <c r="E23">
        <v>1</v>
      </c>
      <c r="F23" s="2" t="s">
        <v>196</v>
      </c>
      <c r="G23" s="2" t="s">
        <v>195</v>
      </c>
      <c r="H23" s="2" t="s">
        <v>197</v>
      </c>
      <c r="I23" s="2" t="str">
        <f t="shared" si="1"/>
        <v>1.230</v>
      </c>
      <c r="J23" s="2" t="str">
        <f t="shared" si="2"/>
        <v>31.434</v>
      </c>
      <c r="K23" s="2" t="str">
        <f t="shared" si="3"/>
        <v>0.6939</v>
      </c>
      <c r="L23" s="3">
        <v>10.19</v>
      </c>
      <c r="M23">
        <f>((10.19-L23)/10.19)*100</f>
        <v>0</v>
      </c>
    </row>
    <row r="24" spans="1:13" x14ac:dyDescent="0.35">
      <c r="A24" s="1" t="s">
        <v>29</v>
      </c>
      <c r="B24" t="str">
        <f t="shared" si="0"/>
        <v>C231</v>
      </c>
      <c r="C24" t="s">
        <v>37</v>
      </c>
      <c r="D24" t="s">
        <v>4</v>
      </c>
      <c r="E24">
        <v>1</v>
      </c>
      <c r="F24" s="2" t="s">
        <v>200</v>
      </c>
      <c r="G24" s="2" t="s">
        <v>198</v>
      </c>
      <c r="H24" s="2" t="s">
        <v>199</v>
      </c>
      <c r="I24" s="2" t="str">
        <f t="shared" si="1"/>
        <v>0.891</v>
      </c>
      <c r="J24" s="2" t="str">
        <f t="shared" si="2"/>
        <v>32.271</v>
      </c>
      <c r="K24" s="2" t="str">
        <f t="shared" si="3"/>
        <v>0.4888</v>
      </c>
      <c r="L24" s="3">
        <v>6.69</v>
      </c>
      <c r="M24">
        <f>((6.69-L24)/6.69)*100</f>
        <v>0</v>
      </c>
    </row>
    <row r="25" spans="1:13" x14ac:dyDescent="0.35">
      <c r="A25" s="1" t="s">
        <v>30</v>
      </c>
      <c r="B25" t="str">
        <f t="shared" si="0"/>
        <v>C241</v>
      </c>
      <c r="C25" t="s">
        <v>37</v>
      </c>
      <c r="D25" t="s">
        <v>4</v>
      </c>
      <c r="E25">
        <v>1</v>
      </c>
      <c r="F25" s="2" t="s">
        <v>203</v>
      </c>
      <c r="G25" s="2" t="s">
        <v>201</v>
      </c>
      <c r="H25" s="2" t="s">
        <v>202</v>
      </c>
      <c r="I25" s="2" t="str">
        <f t="shared" si="1"/>
        <v>1.089</v>
      </c>
      <c r="J25" s="2" t="str">
        <f t="shared" si="2"/>
        <v>33.591</v>
      </c>
      <c r="K25" s="2" t="str">
        <f t="shared" si="3"/>
        <v>0.5749</v>
      </c>
      <c r="L25" s="3">
        <v>6.98</v>
      </c>
      <c r="M25">
        <f>((6.98-L25)/6.98)*100</f>
        <v>0</v>
      </c>
    </row>
    <row r="26" spans="1:13" x14ac:dyDescent="0.35">
      <c r="A26" s="1" t="s">
        <v>31</v>
      </c>
      <c r="B26" t="str">
        <f t="shared" si="0"/>
        <v>C251</v>
      </c>
      <c r="C26" t="s">
        <v>37</v>
      </c>
      <c r="D26" t="s">
        <v>4</v>
      </c>
      <c r="E26">
        <v>1</v>
      </c>
      <c r="F26" s="2" t="s">
        <v>206</v>
      </c>
      <c r="G26" s="2" t="s">
        <v>204</v>
      </c>
      <c r="H26" s="2" t="s">
        <v>205</v>
      </c>
      <c r="I26" s="2" t="str">
        <f t="shared" si="1"/>
        <v>0.557</v>
      </c>
      <c r="J26" s="2" t="str">
        <f t="shared" si="2"/>
        <v>31.818</v>
      </c>
      <c r="K26" s="2" t="str">
        <f t="shared" si="3"/>
        <v>0.3126</v>
      </c>
      <c r="L26" s="3">
        <v>11.74</v>
      </c>
      <c r="M26">
        <f>((11.74-L26)/11.74)*100</f>
        <v>0</v>
      </c>
    </row>
    <row r="27" spans="1:13" x14ac:dyDescent="0.35">
      <c r="A27" s="1" t="s">
        <v>32</v>
      </c>
      <c r="B27" t="str">
        <f t="shared" si="0"/>
        <v>C261</v>
      </c>
      <c r="C27" t="s">
        <v>37</v>
      </c>
      <c r="D27" t="s">
        <v>4</v>
      </c>
      <c r="E27">
        <v>1</v>
      </c>
      <c r="F27" s="2" t="s">
        <v>209</v>
      </c>
      <c r="G27" s="2" t="s">
        <v>207</v>
      </c>
      <c r="H27" s="2" t="s">
        <v>208</v>
      </c>
      <c r="I27" s="2" t="str">
        <f t="shared" si="1"/>
        <v>0.810</v>
      </c>
      <c r="J27" s="2" t="str">
        <f t="shared" si="2"/>
        <v>22.513</v>
      </c>
      <c r="K27" s="2" t="str">
        <f t="shared" si="3"/>
        <v>0.6357</v>
      </c>
      <c r="L27" s="3">
        <v>6.81</v>
      </c>
      <c r="M27">
        <f>((6.81-L27)/6.81)*100</f>
        <v>0</v>
      </c>
    </row>
    <row r="28" spans="1:13" x14ac:dyDescent="0.35">
      <c r="A28" s="1" t="s">
        <v>33</v>
      </c>
      <c r="B28" t="str">
        <f t="shared" si="0"/>
        <v>C271</v>
      </c>
      <c r="C28" t="s">
        <v>37</v>
      </c>
      <c r="D28" t="s">
        <v>4</v>
      </c>
      <c r="E28">
        <v>1</v>
      </c>
      <c r="F28" s="2" t="s">
        <v>212</v>
      </c>
      <c r="G28" s="2" t="s">
        <v>210</v>
      </c>
      <c r="H28" s="2" t="s">
        <v>211</v>
      </c>
      <c r="I28" s="2" t="str">
        <f t="shared" si="1"/>
        <v>0.814</v>
      </c>
      <c r="J28" s="2" t="str">
        <f t="shared" si="2"/>
        <v>37.834</v>
      </c>
      <c r="K28" s="2" t="str">
        <f t="shared" si="3"/>
        <v>0.3809</v>
      </c>
      <c r="L28" s="3">
        <v>13.23</v>
      </c>
      <c r="M28">
        <f>((13.23-L28)/13.23)*100</f>
        <v>0</v>
      </c>
    </row>
    <row r="29" spans="1:13" x14ac:dyDescent="0.35">
      <c r="A29" s="1" t="s">
        <v>34</v>
      </c>
      <c r="B29" t="str">
        <f t="shared" si="0"/>
        <v>C281</v>
      </c>
      <c r="C29" t="s">
        <v>37</v>
      </c>
      <c r="D29" t="s">
        <v>4</v>
      </c>
      <c r="E29">
        <v>1</v>
      </c>
      <c r="F29" s="2" t="s">
        <v>214</v>
      </c>
      <c r="G29" s="2" t="s">
        <v>213</v>
      </c>
      <c r="H29" s="2" t="s">
        <v>215</v>
      </c>
      <c r="I29" s="2" t="str">
        <f t="shared" si="1"/>
        <v>0.981</v>
      </c>
      <c r="J29" s="2" t="str">
        <f t="shared" si="2"/>
        <v>30.203</v>
      </c>
      <c r="K29" s="2" t="str">
        <f t="shared" si="3"/>
        <v>0.5766</v>
      </c>
      <c r="L29" s="3">
        <v>10.74</v>
      </c>
      <c r="M29">
        <f>((10.74-L29)/10.74)*100</f>
        <v>0</v>
      </c>
    </row>
    <row r="30" spans="1:13" x14ac:dyDescent="0.35">
      <c r="A30" s="1" t="s">
        <v>35</v>
      </c>
      <c r="B30" t="str">
        <f t="shared" si="0"/>
        <v>C291</v>
      </c>
      <c r="C30" t="s">
        <v>37</v>
      </c>
      <c r="D30" t="s">
        <v>4</v>
      </c>
      <c r="E30">
        <v>1</v>
      </c>
      <c r="F30" s="2" t="s">
        <v>217</v>
      </c>
      <c r="G30" s="2" t="s">
        <v>216</v>
      </c>
      <c r="H30" s="2" t="s">
        <v>218</v>
      </c>
      <c r="I30" s="2" t="str">
        <f t="shared" si="1"/>
        <v>0.771</v>
      </c>
      <c r="J30" s="2" t="str">
        <f t="shared" si="2"/>
        <v>36.584</v>
      </c>
      <c r="K30" s="2" t="str">
        <f t="shared" si="3"/>
        <v>0.3734</v>
      </c>
      <c r="L30" s="3">
        <v>11.59</v>
      </c>
      <c r="M30">
        <f>((11.59-L30)/11.59)*100</f>
        <v>0</v>
      </c>
    </row>
    <row r="31" spans="1:13" x14ac:dyDescent="0.35">
      <c r="A31" s="1" t="s">
        <v>36</v>
      </c>
      <c r="B31" t="str">
        <f t="shared" si="0"/>
        <v>C301</v>
      </c>
      <c r="C31" t="s">
        <v>37</v>
      </c>
      <c r="D31" t="s">
        <v>4</v>
      </c>
      <c r="E31">
        <v>1</v>
      </c>
      <c r="F31" s="2" t="s">
        <v>221</v>
      </c>
      <c r="G31" s="2" t="s">
        <v>219</v>
      </c>
      <c r="H31" s="2" t="s">
        <v>220</v>
      </c>
      <c r="I31" s="2" t="str">
        <f t="shared" si="1"/>
        <v>1.000</v>
      </c>
      <c r="J31" s="2" t="str">
        <f t="shared" si="2"/>
        <v>32.849</v>
      </c>
      <c r="K31" s="2" t="str">
        <f t="shared" si="3"/>
        <v>0.5395</v>
      </c>
      <c r="L31" s="3">
        <v>9.3800000000000008</v>
      </c>
      <c r="M31">
        <f>((9.38-L31)/9.38)*100</f>
        <v>0</v>
      </c>
    </row>
    <row r="32" spans="1:13" x14ac:dyDescent="0.35">
      <c r="A32" s="1" t="s">
        <v>7</v>
      </c>
      <c r="B32" t="str">
        <f t="shared" si="0"/>
        <v>R011</v>
      </c>
      <c r="C32" t="s">
        <v>38</v>
      </c>
      <c r="D32" t="s">
        <v>5</v>
      </c>
      <c r="E32">
        <v>1</v>
      </c>
      <c r="F32" s="2" t="s">
        <v>44</v>
      </c>
      <c r="G32" s="2" t="s">
        <v>45</v>
      </c>
      <c r="H32" s="2" t="s">
        <v>46</v>
      </c>
      <c r="I32" s="2" t="str">
        <f t="shared" si="1"/>
        <v>0.685</v>
      </c>
      <c r="J32" s="2" t="str">
        <f t="shared" si="2"/>
        <v>34.041</v>
      </c>
      <c r="K32" s="2" t="str">
        <f t="shared" si="3"/>
        <v>0.3564</v>
      </c>
      <c r="L32" s="3">
        <v>10.199999999999999</v>
      </c>
      <c r="M32">
        <f>((10.2-L32)/10.2)*100</f>
        <v>0</v>
      </c>
    </row>
    <row r="33" spans="1:13" x14ac:dyDescent="0.35">
      <c r="A33" s="1" t="s">
        <v>8</v>
      </c>
      <c r="B33" t="str">
        <f>CONCATENATE(C33,A33,E33)</f>
        <v>R021</v>
      </c>
      <c r="C33" t="s">
        <v>38</v>
      </c>
      <c r="D33" t="s">
        <v>5</v>
      </c>
      <c r="E33">
        <v>1</v>
      </c>
      <c r="F33" s="2" t="s">
        <v>47</v>
      </c>
      <c r="G33" s="2" t="s">
        <v>48</v>
      </c>
      <c r="H33" s="2" t="s">
        <v>49</v>
      </c>
      <c r="I33" s="2" t="str">
        <f t="shared" si="1"/>
        <v>0.854</v>
      </c>
      <c r="J33" s="2" t="str">
        <f t="shared" si="2"/>
        <v>33.797</v>
      </c>
      <c r="K33" s="2" t="str">
        <f t="shared" si="3"/>
        <v>0.4496</v>
      </c>
      <c r="L33" s="3">
        <v>8.9</v>
      </c>
      <c r="M33">
        <f>((8.9-L33)/8.9)*100</f>
        <v>0</v>
      </c>
    </row>
    <row r="34" spans="1:13" x14ac:dyDescent="0.35">
      <c r="A34" s="1" t="s">
        <v>21</v>
      </c>
      <c r="B34" t="str">
        <f t="shared" si="0"/>
        <v>R031</v>
      </c>
      <c r="C34" t="s">
        <v>38</v>
      </c>
      <c r="D34" t="s">
        <v>5</v>
      </c>
      <c r="E34">
        <v>1</v>
      </c>
      <c r="F34" s="2" t="s">
        <v>56</v>
      </c>
      <c r="G34" s="2" t="s">
        <v>57</v>
      </c>
      <c r="H34" s="2" t="s">
        <v>58</v>
      </c>
      <c r="I34" s="2" t="str">
        <f t="shared" si="1"/>
        <v>0.821</v>
      </c>
      <c r="J34" s="2" t="str">
        <f t="shared" si="2"/>
        <v>36.059</v>
      </c>
      <c r="K34" s="2" t="str">
        <f t="shared" si="3"/>
        <v>0.4048</v>
      </c>
      <c r="L34" s="3">
        <v>7.72</v>
      </c>
      <c r="M34">
        <f>((7.72-L34)/7.72)*100</f>
        <v>0</v>
      </c>
    </row>
    <row r="35" spans="1:13" x14ac:dyDescent="0.35">
      <c r="A35" s="1" t="s">
        <v>9</v>
      </c>
      <c r="B35" t="str">
        <f t="shared" si="0"/>
        <v>R041</v>
      </c>
      <c r="C35" t="s">
        <v>38</v>
      </c>
      <c r="D35" t="s">
        <v>5</v>
      </c>
      <c r="E35">
        <v>1</v>
      </c>
      <c r="F35" s="2" t="s">
        <v>53</v>
      </c>
      <c r="G35" s="2" t="s">
        <v>54</v>
      </c>
      <c r="H35" s="2" t="s">
        <v>55</v>
      </c>
      <c r="I35" s="2" t="str">
        <f t="shared" si="1"/>
        <v>0.746</v>
      </c>
      <c r="J35" s="2" t="str">
        <f t="shared" si="2"/>
        <v>34.399</v>
      </c>
      <c r="K35" s="2" t="str">
        <f t="shared" si="3"/>
        <v>0.3845</v>
      </c>
      <c r="L35" s="3">
        <v>6.71</v>
      </c>
      <c r="M35">
        <f>((6.71-L35)/6.71)*100</f>
        <v>0</v>
      </c>
    </row>
    <row r="36" spans="1:13" x14ac:dyDescent="0.35">
      <c r="A36" s="1" t="s">
        <v>10</v>
      </c>
      <c r="B36" t="str">
        <f t="shared" si="0"/>
        <v>R051</v>
      </c>
      <c r="C36" t="s">
        <v>38</v>
      </c>
      <c r="D36" t="s">
        <v>5</v>
      </c>
      <c r="E36">
        <v>1</v>
      </c>
      <c r="F36" s="2" t="s">
        <v>59</v>
      </c>
      <c r="G36" s="2" t="s">
        <v>60</v>
      </c>
      <c r="H36" s="2" t="s">
        <v>61</v>
      </c>
      <c r="I36" s="2" t="str">
        <f t="shared" si="1"/>
        <v>0.954</v>
      </c>
      <c r="J36" s="2" t="str">
        <f t="shared" si="2"/>
        <v>34.773</v>
      </c>
      <c r="K36" s="2" t="str">
        <f t="shared" si="3"/>
        <v>0.4861</v>
      </c>
      <c r="L36" s="3">
        <v>7.58</v>
      </c>
      <c r="M36">
        <f>((7.58-L36)/7.58)*100</f>
        <v>0</v>
      </c>
    </row>
    <row r="37" spans="1:13" x14ac:dyDescent="0.35">
      <c r="A37" s="1" t="s">
        <v>11</v>
      </c>
      <c r="B37" t="str">
        <f t="shared" si="0"/>
        <v>R061</v>
      </c>
      <c r="C37" t="s">
        <v>38</v>
      </c>
      <c r="D37" t="s">
        <v>5</v>
      </c>
      <c r="E37">
        <v>1</v>
      </c>
      <c r="F37" s="2" t="s">
        <v>62</v>
      </c>
      <c r="G37" s="2" t="s">
        <v>63</v>
      </c>
      <c r="H37" s="2" t="s">
        <v>64</v>
      </c>
      <c r="I37" s="2" t="str">
        <f t="shared" si="1"/>
        <v>1.193</v>
      </c>
      <c r="J37" s="2" t="str">
        <f t="shared" si="2"/>
        <v>36.310</v>
      </c>
      <c r="K37" s="2" t="str">
        <f t="shared" si="3"/>
        <v>0.5816</v>
      </c>
      <c r="L37" s="3">
        <v>8.4700000000000006</v>
      </c>
      <c r="M37">
        <f>((8.47-L37)/8.47)*100</f>
        <v>0</v>
      </c>
    </row>
    <row r="38" spans="1:13" x14ac:dyDescent="0.35">
      <c r="A38" s="1" t="s">
        <v>12</v>
      </c>
      <c r="B38" t="str">
        <f t="shared" si="0"/>
        <v>R071</v>
      </c>
      <c r="C38" t="s">
        <v>38</v>
      </c>
      <c r="D38" t="s">
        <v>5</v>
      </c>
      <c r="E38">
        <v>1</v>
      </c>
      <c r="F38" s="2" t="s">
        <v>66</v>
      </c>
      <c r="G38" s="2" t="s">
        <v>65</v>
      </c>
      <c r="H38" s="2" t="s">
        <v>67</v>
      </c>
      <c r="I38" s="2" t="str">
        <f t="shared" si="1"/>
        <v>0.720</v>
      </c>
      <c r="J38" s="2" t="str">
        <f t="shared" si="2"/>
        <v>21.118</v>
      </c>
      <c r="K38" s="2" t="str">
        <f t="shared" si="3"/>
        <v>0.6075</v>
      </c>
      <c r="L38" s="3">
        <v>9.75</v>
      </c>
      <c r="M38">
        <f>((9.75-L38)/9.75)*100</f>
        <v>0</v>
      </c>
    </row>
    <row r="39" spans="1:13" x14ac:dyDescent="0.35">
      <c r="A39" s="1" t="s">
        <v>13</v>
      </c>
      <c r="B39" t="str">
        <f t="shared" si="0"/>
        <v>R081</v>
      </c>
      <c r="C39" t="s">
        <v>38</v>
      </c>
      <c r="D39" t="s">
        <v>5</v>
      </c>
      <c r="E39">
        <v>1</v>
      </c>
      <c r="F39" s="2" t="s">
        <v>68</v>
      </c>
      <c r="G39" s="2" t="s">
        <v>69</v>
      </c>
      <c r="H39" s="2" t="s">
        <v>70</v>
      </c>
      <c r="I39" s="2" t="str">
        <f t="shared" si="1"/>
        <v>0.928</v>
      </c>
      <c r="J39" s="2" t="str">
        <f t="shared" si="2"/>
        <v>26.194</v>
      </c>
      <c r="K39" s="2" t="str">
        <f t="shared" si="3"/>
        <v>0.6283</v>
      </c>
      <c r="L39" s="3">
        <v>10.46</v>
      </c>
      <c r="M39">
        <f>((10.46-L39)/10.46)*100</f>
        <v>0</v>
      </c>
    </row>
    <row r="40" spans="1:13" x14ac:dyDescent="0.35">
      <c r="A40" s="1" t="s">
        <v>14</v>
      </c>
      <c r="B40" t="str">
        <f t="shared" si="0"/>
        <v>R091</v>
      </c>
      <c r="C40" t="s">
        <v>38</v>
      </c>
      <c r="D40" t="s">
        <v>5</v>
      </c>
      <c r="E40">
        <v>1</v>
      </c>
      <c r="F40" s="2" t="s">
        <v>71</v>
      </c>
      <c r="G40" s="2" t="s">
        <v>72</v>
      </c>
      <c r="H40" s="2" t="s">
        <v>73</v>
      </c>
      <c r="I40" s="2" t="str">
        <f t="shared" si="1"/>
        <v>0.970</v>
      </c>
      <c r="J40" s="2" t="str">
        <f t="shared" si="2"/>
        <v>29.117</v>
      </c>
      <c r="K40" s="2" t="str">
        <f t="shared" si="3"/>
        <v>0.5897</v>
      </c>
      <c r="L40" s="3">
        <v>9.52</v>
      </c>
      <c r="M40">
        <f>((9.52-L40)/9.52)*100</f>
        <v>0</v>
      </c>
    </row>
    <row r="41" spans="1:13" x14ac:dyDescent="0.35">
      <c r="A41" s="1" t="s">
        <v>15</v>
      </c>
      <c r="B41" t="str">
        <f t="shared" si="0"/>
        <v>R101</v>
      </c>
      <c r="C41" t="s">
        <v>38</v>
      </c>
      <c r="D41" t="s">
        <v>5</v>
      </c>
      <c r="E41">
        <v>1</v>
      </c>
      <c r="F41" s="2" t="s">
        <v>222</v>
      </c>
      <c r="G41" s="4" t="s">
        <v>223</v>
      </c>
      <c r="H41" s="2" t="s">
        <v>74</v>
      </c>
      <c r="I41" s="2" t="str">
        <f t="shared" si="1"/>
        <v>1.042</v>
      </c>
      <c r="J41" s="2" t="str">
        <f t="shared" si="2"/>
        <v>29.522</v>
      </c>
      <c r="K41" s="2" t="str">
        <f t="shared" si="3"/>
        <v>0.6263</v>
      </c>
      <c r="L41" s="3">
        <v>14.55</v>
      </c>
      <c r="M41">
        <f>((14.55-L41)/14.55)*100</f>
        <v>0</v>
      </c>
    </row>
    <row r="42" spans="1:13" x14ac:dyDescent="0.35">
      <c r="A42" s="1" t="s">
        <v>16</v>
      </c>
      <c r="B42" t="str">
        <f t="shared" si="0"/>
        <v>R111</v>
      </c>
      <c r="C42" t="s">
        <v>38</v>
      </c>
      <c r="D42" t="s">
        <v>5</v>
      </c>
      <c r="E42">
        <v>1</v>
      </c>
      <c r="F42" s="2" t="s">
        <v>75</v>
      </c>
      <c r="G42" s="2" t="s">
        <v>76</v>
      </c>
      <c r="H42" s="2" t="s">
        <v>77</v>
      </c>
      <c r="I42" s="2" t="str">
        <f t="shared" si="1"/>
        <v>1.031</v>
      </c>
      <c r="J42" s="2" t="str">
        <f t="shared" si="2"/>
        <v>30.735</v>
      </c>
      <c r="K42" s="2" t="str">
        <f t="shared" si="3"/>
        <v>0.6043</v>
      </c>
      <c r="L42" s="3">
        <v>8.99</v>
      </c>
      <c r="M42">
        <f>((8.99-L42)/8.99)*100</f>
        <v>0</v>
      </c>
    </row>
    <row r="43" spans="1:13" x14ac:dyDescent="0.35">
      <c r="A43" s="1" t="s">
        <v>17</v>
      </c>
      <c r="B43" t="str">
        <f t="shared" si="0"/>
        <v>R121</v>
      </c>
      <c r="C43" t="s">
        <v>38</v>
      </c>
      <c r="D43" t="s">
        <v>5</v>
      </c>
      <c r="E43">
        <v>1</v>
      </c>
      <c r="F43" s="2" t="s">
        <v>79</v>
      </c>
      <c r="G43" s="2" t="s">
        <v>78</v>
      </c>
      <c r="H43" s="2" t="s">
        <v>80</v>
      </c>
      <c r="I43" s="2" t="str">
        <f t="shared" si="1"/>
        <v>1.078</v>
      </c>
      <c r="J43" s="2" t="str">
        <f t="shared" si="2"/>
        <v>31.299</v>
      </c>
      <c r="K43" s="2" t="str">
        <f t="shared" si="3"/>
        <v>0.6149</v>
      </c>
      <c r="L43" s="3">
        <v>9.52</v>
      </c>
      <c r="M43">
        <f>((9.52-L43)/9.52)*100</f>
        <v>0</v>
      </c>
    </row>
    <row r="44" spans="1:13" x14ac:dyDescent="0.35">
      <c r="A44" s="1" t="s">
        <v>18</v>
      </c>
      <c r="B44" t="str">
        <f t="shared" si="0"/>
        <v>R131</v>
      </c>
      <c r="C44" t="s">
        <v>38</v>
      </c>
      <c r="D44" t="s">
        <v>5</v>
      </c>
      <c r="E44">
        <v>1</v>
      </c>
      <c r="F44" s="2" t="s">
        <v>82</v>
      </c>
      <c r="G44" s="2" t="s">
        <v>81</v>
      </c>
      <c r="H44" s="2" t="s">
        <v>83</v>
      </c>
      <c r="I44" s="2" t="str">
        <f t="shared" si="1"/>
        <v>1.026</v>
      </c>
      <c r="J44" s="2" t="str">
        <f t="shared" si="2"/>
        <v>31.229</v>
      </c>
      <c r="K44" s="2" t="str">
        <f t="shared" si="3"/>
        <v>0.5816</v>
      </c>
      <c r="L44" s="3">
        <v>10.58</v>
      </c>
      <c r="M44">
        <f>((10.58-L44)/10.58)*100</f>
        <v>0</v>
      </c>
    </row>
    <row r="45" spans="1:13" x14ac:dyDescent="0.35">
      <c r="A45" s="1" t="s">
        <v>19</v>
      </c>
      <c r="B45" t="str">
        <f t="shared" si="0"/>
        <v>R141</v>
      </c>
      <c r="C45" t="s">
        <v>38</v>
      </c>
      <c r="D45" t="s">
        <v>5</v>
      </c>
      <c r="E45">
        <v>1</v>
      </c>
      <c r="F45" s="2" t="s">
        <v>85</v>
      </c>
      <c r="G45" s="2" t="s">
        <v>84</v>
      </c>
      <c r="H45" s="2" t="s">
        <v>86</v>
      </c>
      <c r="I45" s="2" t="str">
        <f t="shared" si="1"/>
        <v>0.532</v>
      </c>
      <c r="J45" s="2" t="str">
        <f t="shared" si="2"/>
        <v>27.331</v>
      </c>
      <c r="K45" s="2" t="str">
        <f t="shared" si="3"/>
        <v>0.3456</v>
      </c>
      <c r="L45" s="3">
        <v>11.2</v>
      </c>
      <c r="M45">
        <f>((11.2-L45)/11.2)*100</f>
        <v>0</v>
      </c>
    </row>
    <row r="46" spans="1:13" x14ac:dyDescent="0.35">
      <c r="A46" s="1" t="s">
        <v>20</v>
      </c>
      <c r="B46" t="str">
        <f t="shared" si="0"/>
        <v>R151</v>
      </c>
      <c r="C46" t="s">
        <v>38</v>
      </c>
      <c r="D46" t="s">
        <v>5</v>
      </c>
      <c r="E46">
        <v>1</v>
      </c>
      <c r="F46" s="2" t="s">
        <v>88</v>
      </c>
      <c r="G46" s="2" t="s">
        <v>87</v>
      </c>
      <c r="H46" s="2" t="s">
        <v>89</v>
      </c>
      <c r="I46" s="2" t="str">
        <f t="shared" si="1"/>
        <v>0.534</v>
      </c>
      <c r="J46" s="2" t="str">
        <f t="shared" si="2"/>
        <v>31.320</v>
      </c>
      <c r="K46" s="2" t="str">
        <f t="shared" si="3"/>
        <v>0.3039</v>
      </c>
      <c r="L46" s="3">
        <v>10.33</v>
      </c>
      <c r="M46">
        <f>((10.33-L46)/10.33)*100</f>
        <v>0</v>
      </c>
    </row>
    <row r="47" spans="1:13" x14ac:dyDescent="0.35">
      <c r="A47" s="1" t="s">
        <v>22</v>
      </c>
      <c r="B47" t="str">
        <f t="shared" si="0"/>
        <v>R161</v>
      </c>
      <c r="C47" t="s">
        <v>38</v>
      </c>
      <c r="D47" t="s">
        <v>5</v>
      </c>
      <c r="E47">
        <v>1</v>
      </c>
      <c r="F47" s="2" t="s">
        <v>92</v>
      </c>
      <c r="G47" s="2" t="s">
        <v>90</v>
      </c>
      <c r="H47" s="2" t="s">
        <v>91</v>
      </c>
      <c r="I47" s="2" t="str">
        <f t="shared" si="1"/>
        <v>0.746</v>
      </c>
      <c r="J47" s="2" t="str">
        <f t="shared" si="2"/>
        <v>38.281</v>
      </c>
      <c r="K47" s="2" t="str">
        <f t="shared" si="3"/>
        <v>0.3471</v>
      </c>
      <c r="L47" s="3">
        <v>8.36</v>
      </c>
      <c r="M47">
        <f>((8.36-L47)/8.36)*100</f>
        <v>0</v>
      </c>
    </row>
    <row r="48" spans="1:13" x14ac:dyDescent="0.35">
      <c r="A48" s="1" t="s">
        <v>23</v>
      </c>
      <c r="B48" t="str">
        <f t="shared" si="0"/>
        <v>R171</v>
      </c>
      <c r="C48" t="s">
        <v>38</v>
      </c>
      <c r="D48" t="s">
        <v>5</v>
      </c>
      <c r="E48">
        <v>1</v>
      </c>
      <c r="F48" s="2" t="s">
        <v>93</v>
      </c>
      <c r="G48" s="2" t="s">
        <v>94</v>
      </c>
      <c r="H48" s="2" t="s">
        <v>95</v>
      </c>
      <c r="I48" s="2" t="str">
        <f t="shared" si="1"/>
        <v>0.986</v>
      </c>
      <c r="J48" s="2" t="str">
        <f t="shared" si="2"/>
        <v>31.372</v>
      </c>
      <c r="K48" s="2" t="str">
        <f t="shared" si="3"/>
        <v>0.5554</v>
      </c>
      <c r="L48" s="3">
        <v>10.97</v>
      </c>
      <c r="M48">
        <f>((10.97-L48)/10.97)*100</f>
        <v>0</v>
      </c>
    </row>
    <row r="49" spans="1:13" x14ac:dyDescent="0.35">
      <c r="A49" s="1" t="s">
        <v>24</v>
      </c>
      <c r="B49" t="str">
        <f t="shared" si="0"/>
        <v>R181</v>
      </c>
      <c r="C49" t="s">
        <v>38</v>
      </c>
      <c r="D49" t="s">
        <v>5</v>
      </c>
      <c r="E49">
        <v>1</v>
      </c>
      <c r="F49" s="2" t="s">
        <v>97</v>
      </c>
      <c r="G49" s="2" t="s">
        <v>96</v>
      </c>
      <c r="H49" s="2" t="s">
        <v>98</v>
      </c>
      <c r="I49" s="2" t="str">
        <f t="shared" si="1"/>
        <v>1.082</v>
      </c>
      <c r="J49" s="2" t="str">
        <f t="shared" si="2"/>
        <v>35.868</v>
      </c>
      <c r="K49" s="2" t="str">
        <f t="shared" si="3"/>
        <v>0.5349</v>
      </c>
      <c r="L49" s="3">
        <v>8.0299999999999994</v>
      </c>
      <c r="M49">
        <f>((8.03-L49)/8.03)*100</f>
        <v>0</v>
      </c>
    </row>
    <row r="50" spans="1:13" x14ac:dyDescent="0.35">
      <c r="A50" s="1" t="s">
        <v>25</v>
      </c>
      <c r="B50" t="str">
        <f t="shared" si="0"/>
        <v>R191</v>
      </c>
      <c r="C50" t="s">
        <v>38</v>
      </c>
      <c r="D50" t="s">
        <v>5</v>
      </c>
      <c r="E50">
        <v>1</v>
      </c>
      <c r="F50" s="2" t="s">
        <v>101</v>
      </c>
      <c r="G50" s="2" t="s">
        <v>99</v>
      </c>
      <c r="H50" s="2" t="s">
        <v>100</v>
      </c>
      <c r="I50" s="2" t="str">
        <f t="shared" si="1"/>
        <v>0.985</v>
      </c>
      <c r="J50" s="2" t="str">
        <f t="shared" si="2"/>
        <v>27.964</v>
      </c>
      <c r="K50" s="2" t="str">
        <f t="shared" si="3"/>
        <v>0.6265</v>
      </c>
      <c r="L50" s="3">
        <v>8.9700000000000006</v>
      </c>
      <c r="M50">
        <f>((8.97-L50)/8.97)*100</f>
        <v>0</v>
      </c>
    </row>
    <row r="51" spans="1:13" x14ac:dyDescent="0.35">
      <c r="A51" s="1" t="s">
        <v>26</v>
      </c>
      <c r="B51" t="str">
        <f t="shared" si="0"/>
        <v>R201</v>
      </c>
      <c r="C51" t="s">
        <v>38</v>
      </c>
      <c r="D51" t="s">
        <v>5</v>
      </c>
      <c r="E51">
        <v>1</v>
      </c>
      <c r="F51" s="2" t="s">
        <v>103</v>
      </c>
      <c r="G51" s="2" t="s">
        <v>102</v>
      </c>
      <c r="H51" s="2" t="s">
        <v>104</v>
      </c>
      <c r="I51" s="2" t="str">
        <f t="shared" si="1"/>
        <v>1.009</v>
      </c>
      <c r="J51" s="2" t="str">
        <f t="shared" si="2"/>
        <v>31.281</v>
      </c>
      <c r="K51" s="2" t="str">
        <f t="shared" si="3"/>
        <v>0.5722</v>
      </c>
      <c r="L51" s="3">
        <v>9.17</v>
      </c>
      <c r="M51">
        <f>((9.17-L51)/9.17)*100</f>
        <v>0</v>
      </c>
    </row>
    <row r="52" spans="1:13" x14ac:dyDescent="0.35">
      <c r="A52" s="1" t="s">
        <v>27</v>
      </c>
      <c r="B52" t="str">
        <f t="shared" si="0"/>
        <v>R211</v>
      </c>
      <c r="C52" t="s">
        <v>38</v>
      </c>
      <c r="D52" t="s">
        <v>5</v>
      </c>
      <c r="E52">
        <v>1</v>
      </c>
      <c r="F52" s="2" t="s">
        <v>106</v>
      </c>
      <c r="G52" s="2" t="s">
        <v>105</v>
      </c>
      <c r="H52" s="2" t="s">
        <v>107</v>
      </c>
      <c r="I52" s="2" t="str">
        <f t="shared" si="1"/>
        <v>0.578</v>
      </c>
      <c r="J52" s="2" t="str">
        <f t="shared" si="2"/>
        <v>36.436</v>
      </c>
      <c r="K52" s="2" t="str">
        <f t="shared" si="3"/>
        <v>0.2814</v>
      </c>
      <c r="L52" s="3">
        <v>11.02</v>
      </c>
      <c r="M52">
        <f>((11.02-L52)/11.02)*100</f>
        <v>0</v>
      </c>
    </row>
    <row r="53" spans="1:13" x14ac:dyDescent="0.35">
      <c r="A53" s="1" t="s">
        <v>28</v>
      </c>
      <c r="B53" t="str">
        <f t="shared" si="0"/>
        <v>R221</v>
      </c>
      <c r="C53" t="s">
        <v>38</v>
      </c>
      <c r="D53" t="s">
        <v>5</v>
      </c>
      <c r="E53">
        <v>1</v>
      </c>
      <c r="F53" s="2" t="s">
        <v>110</v>
      </c>
      <c r="G53" s="2" t="s">
        <v>109</v>
      </c>
      <c r="H53" s="2" t="s">
        <v>108</v>
      </c>
      <c r="I53" s="2" t="str">
        <f t="shared" si="1"/>
        <v>0.769</v>
      </c>
      <c r="J53" s="2" t="str">
        <f t="shared" si="2"/>
        <v>32.470</v>
      </c>
      <c r="K53" s="2" t="str">
        <f t="shared" si="3"/>
        <v>0.4201</v>
      </c>
      <c r="L53" s="3">
        <v>11.2</v>
      </c>
      <c r="M53">
        <f>((11.2-L53)/11.2)*100</f>
        <v>0</v>
      </c>
    </row>
    <row r="54" spans="1:13" x14ac:dyDescent="0.35">
      <c r="A54" s="1" t="s">
        <v>29</v>
      </c>
      <c r="B54" t="str">
        <f t="shared" si="0"/>
        <v>R231</v>
      </c>
      <c r="C54" t="s">
        <v>38</v>
      </c>
      <c r="D54" t="s">
        <v>5</v>
      </c>
      <c r="E54">
        <v>1</v>
      </c>
      <c r="F54" s="2" t="s">
        <v>113</v>
      </c>
      <c r="G54" s="2" t="s">
        <v>111</v>
      </c>
      <c r="H54" s="2" t="s">
        <v>112</v>
      </c>
      <c r="I54" s="2" t="str">
        <f t="shared" si="1"/>
        <v>1.111</v>
      </c>
      <c r="J54" s="2" t="str">
        <f t="shared" si="2"/>
        <v>30.934</v>
      </c>
      <c r="K54" s="2" t="str">
        <f t="shared" si="3"/>
        <v>0.6387</v>
      </c>
      <c r="L54" s="3">
        <v>10.41</v>
      </c>
      <c r="M54">
        <f>((10.41-L54)/10.41)*100</f>
        <v>0</v>
      </c>
    </row>
    <row r="55" spans="1:13" x14ac:dyDescent="0.35">
      <c r="A55" s="1" t="s">
        <v>30</v>
      </c>
      <c r="B55" t="str">
        <f t="shared" si="0"/>
        <v>R241</v>
      </c>
      <c r="C55" t="s">
        <v>38</v>
      </c>
      <c r="D55" t="s">
        <v>5</v>
      </c>
      <c r="E55">
        <v>1</v>
      </c>
      <c r="F55" s="2" t="s">
        <v>115</v>
      </c>
      <c r="G55" s="2" t="s">
        <v>114</v>
      </c>
      <c r="H55" s="2" t="s">
        <v>116</v>
      </c>
      <c r="I55" s="2" t="str">
        <f t="shared" si="1"/>
        <v>0.929</v>
      </c>
      <c r="J55" s="2" t="str">
        <f t="shared" si="2"/>
        <v>31.986</v>
      </c>
      <c r="K55" s="2" t="str">
        <f t="shared" si="3"/>
        <v>0.5147</v>
      </c>
      <c r="L55" s="3">
        <v>11.96</v>
      </c>
      <c r="M55">
        <f>((11.96-L55)/11.96)*100</f>
        <v>0</v>
      </c>
    </row>
    <row r="56" spans="1:13" x14ac:dyDescent="0.35">
      <c r="A56" s="1" t="s">
        <v>31</v>
      </c>
      <c r="B56" t="str">
        <f t="shared" si="0"/>
        <v>R251</v>
      </c>
      <c r="C56" t="s">
        <v>38</v>
      </c>
      <c r="D56" t="s">
        <v>5</v>
      </c>
      <c r="E56">
        <v>1</v>
      </c>
      <c r="F56" s="2" t="s">
        <v>118</v>
      </c>
      <c r="G56" s="2" t="s">
        <v>117</v>
      </c>
      <c r="H56" s="2" t="s">
        <v>119</v>
      </c>
      <c r="I56" s="2" t="str">
        <f t="shared" si="1"/>
        <v>0.808</v>
      </c>
      <c r="J56" s="2" t="str">
        <f t="shared" si="2"/>
        <v>34.890</v>
      </c>
      <c r="K56" s="2" t="str">
        <f t="shared" si="3"/>
        <v>0.4100</v>
      </c>
      <c r="L56" s="3">
        <v>11.77</v>
      </c>
      <c r="M56">
        <f>((11.77-L56)/11.77)*100</f>
        <v>0</v>
      </c>
    </row>
    <row r="57" spans="1:13" x14ac:dyDescent="0.35">
      <c r="A57" s="1" t="s">
        <v>32</v>
      </c>
      <c r="B57" t="str">
        <f t="shared" si="0"/>
        <v>R261</v>
      </c>
      <c r="C57" t="s">
        <v>38</v>
      </c>
      <c r="D57" t="s">
        <v>5</v>
      </c>
      <c r="E57">
        <v>1</v>
      </c>
      <c r="F57" s="2" t="s">
        <v>121</v>
      </c>
      <c r="G57" s="2" t="s">
        <v>120</v>
      </c>
      <c r="H57" s="2" t="s">
        <v>122</v>
      </c>
      <c r="I57" s="2" t="str">
        <f t="shared" si="1"/>
        <v>0.583</v>
      </c>
      <c r="J57" s="2" t="str">
        <f t="shared" si="2"/>
        <v>27.591</v>
      </c>
      <c r="K57" s="2" t="str">
        <f t="shared" si="3"/>
        <v>0.3761</v>
      </c>
      <c r="L57" s="3">
        <v>12.72</v>
      </c>
      <c r="M57">
        <f>((12.72-L57)/12.72)*100</f>
        <v>0</v>
      </c>
    </row>
    <row r="58" spans="1:13" x14ac:dyDescent="0.35">
      <c r="A58" s="1" t="s">
        <v>33</v>
      </c>
      <c r="B58" t="str">
        <f t="shared" si="0"/>
        <v>R271</v>
      </c>
      <c r="C58" t="s">
        <v>38</v>
      </c>
      <c r="D58" t="s">
        <v>5</v>
      </c>
      <c r="E58">
        <v>1</v>
      </c>
      <c r="F58" s="2" t="s">
        <v>124</v>
      </c>
      <c r="G58" s="2" t="s">
        <v>123</v>
      </c>
      <c r="H58" s="2" t="s">
        <v>125</v>
      </c>
      <c r="I58" s="2" t="str">
        <f t="shared" si="1"/>
        <v>0.859</v>
      </c>
      <c r="J58" s="2" t="str">
        <f t="shared" si="2"/>
        <v>34.015</v>
      </c>
      <c r="K58" s="2" t="str">
        <f t="shared" si="3"/>
        <v>0.4472</v>
      </c>
      <c r="L58" s="3">
        <v>13.02</v>
      </c>
      <c r="M58">
        <f>((13.02-L58)/13.02)*100</f>
        <v>0</v>
      </c>
    </row>
    <row r="59" spans="1:13" x14ac:dyDescent="0.35">
      <c r="A59" s="1" t="s">
        <v>34</v>
      </c>
      <c r="B59" t="str">
        <f t="shared" si="0"/>
        <v>R281</v>
      </c>
      <c r="C59" t="s">
        <v>38</v>
      </c>
      <c r="D59" t="s">
        <v>5</v>
      </c>
      <c r="E59">
        <v>1</v>
      </c>
      <c r="F59" s="2" t="s">
        <v>128</v>
      </c>
      <c r="G59" s="2" t="s">
        <v>126</v>
      </c>
      <c r="H59" s="2" t="s">
        <v>127</v>
      </c>
      <c r="I59" s="2" t="str">
        <f t="shared" si="1"/>
        <v>0.762</v>
      </c>
      <c r="J59" s="2" t="str">
        <f t="shared" si="2"/>
        <v>30.537</v>
      </c>
      <c r="K59" s="2" t="str">
        <f t="shared" si="3"/>
        <v>0.4452</v>
      </c>
      <c r="L59" s="3">
        <v>10.130000000000001</v>
      </c>
      <c r="M59">
        <f>((10.13-L59)/10.13)*100</f>
        <v>0</v>
      </c>
    </row>
    <row r="60" spans="1:13" x14ac:dyDescent="0.35">
      <c r="A60" s="1" t="s">
        <v>35</v>
      </c>
      <c r="B60" t="str">
        <f t="shared" si="0"/>
        <v>R291</v>
      </c>
      <c r="C60" t="s">
        <v>38</v>
      </c>
      <c r="D60" t="s">
        <v>5</v>
      </c>
      <c r="E60">
        <v>1</v>
      </c>
      <c r="F60" s="2" t="s">
        <v>130</v>
      </c>
      <c r="G60" s="2" t="s">
        <v>129</v>
      </c>
      <c r="H60" s="2" t="s">
        <v>131</v>
      </c>
      <c r="I60" s="2" t="str">
        <f t="shared" si="1"/>
        <v>1.162</v>
      </c>
      <c r="J60" s="2" t="str">
        <f t="shared" si="2"/>
        <v>32.011</v>
      </c>
      <c r="K60" s="2" t="str">
        <f t="shared" si="3"/>
        <v>0.6436</v>
      </c>
      <c r="L60" s="3">
        <v>8.49</v>
      </c>
      <c r="M60">
        <f>((8.49-L60)/8.49)*100</f>
        <v>0</v>
      </c>
    </row>
    <row r="61" spans="1:13" x14ac:dyDescent="0.35">
      <c r="A61" s="1" t="s">
        <v>36</v>
      </c>
      <c r="B61" t="str">
        <f t="shared" si="0"/>
        <v>R301</v>
      </c>
      <c r="C61" t="s">
        <v>38</v>
      </c>
      <c r="D61" t="s">
        <v>5</v>
      </c>
      <c r="E61">
        <v>1</v>
      </c>
      <c r="F61" s="2" t="s">
        <v>134</v>
      </c>
      <c r="G61" s="2" t="s">
        <v>132</v>
      </c>
      <c r="H61" s="2" t="s">
        <v>133</v>
      </c>
      <c r="I61" s="2" t="str">
        <f t="shared" si="1"/>
        <v>1.022</v>
      </c>
      <c r="J61" s="2" t="str">
        <f t="shared" si="2"/>
        <v>33.299</v>
      </c>
      <c r="K61" s="2" t="str">
        <f t="shared" si="3"/>
        <v>0.5454</v>
      </c>
      <c r="L61" s="3">
        <v>7.78</v>
      </c>
      <c r="M61">
        <f>((7.78-L61)/7.78)*100</f>
        <v>0</v>
      </c>
    </row>
    <row r="62" spans="1:13" x14ac:dyDescent="0.35">
      <c r="A62" s="1" t="s">
        <v>7</v>
      </c>
      <c r="B62" t="str">
        <f t="shared" si="0"/>
        <v>C012</v>
      </c>
      <c r="C62" t="s">
        <v>37</v>
      </c>
      <c r="D62" t="s">
        <v>4</v>
      </c>
      <c r="E62">
        <v>2</v>
      </c>
      <c r="F62" s="2" t="s">
        <v>315</v>
      </c>
      <c r="G62" s="2" t="s">
        <v>314</v>
      </c>
      <c r="H62" s="2" t="s">
        <v>316</v>
      </c>
      <c r="I62" s="2" t="str">
        <f t="shared" si="1"/>
        <v>0.920</v>
      </c>
      <c r="J62" s="2" t="str">
        <f t="shared" si="2"/>
        <v>25.994</v>
      </c>
      <c r="K62" s="2" t="str">
        <f t="shared" si="3"/>
        <v>0.6319</v>
      </c>
      <c r="L62" s="3">
        <v>10.7</v>
      </c>
      <c r="M62">
        <f>((10.71-L62)/10.71)*100</f>
        <v>9.3370681605990311E-2</v>
      </c>
    </row>
    <row r="63" spans="1:13" x14ac:dyDescent="0.35">
      <c r="A63" s="1" t="s">
        <v>8</v>
      </c>
      <c r="B63" t="str">
        <f t="shared" si="0"/>
        <v>C022</v>
      </c>
      <c r="C63" t="s">
        <v>37</v>
      </c>
      <c r="D63" t="s">
        <v>4</v>
      </c>
      <c r="E63">
        <v>2</v>
      </c>
      <c r="F63" s="2" t="s">
        <v>318</v>
      </c>
      <c r="G63" s="2" t="s">
        <v>317</v>
      </c>
      <c r="H63" s="2" t="s">
        <v>319</v>
      </c>
      <c r="I63" s="2" t="str">
        <f t="shared" si="1"/>
        <v>0.734</v>
      </c>
      <c r="J63" s="2" t="str">
        <f t="shared" si="2"/>
        <v>20.099</v>
      </c>
      <c r="K63" s="2" t="str">
        <f t="shared" si="3"/>
        <v>0.6481</v>
      </c>
      <c r="L63" s="3">
        <v>11.04</v>
      </c>
      <c r="M63">
        <f>((11.03-L63)/11.03)*100</f>
        <v>-9.0661831368991724E-2</v>
      </c>
    </row>
    <row r="64" spans="1:13" x14ac:dyDescent="0.35">
      <c r="A64" s="1" t="s">
        <v>21</v>
      </c>
      <c r="B64" t="str">
        <f t="shared" si="0"/>
        <v>C032</v>
      </c>
      <c r="C64" t="s">
        <v>37</v>
      </c>
      <c r="D64" t="s">
        <v>4</v>
      </c>
      <c r="E64">
        <v>2</v>
      </c>
      <c r="F64" s="2" t="s">
        <v>322</v>
      </c>
      <c r="G64" s="2" t="s">
        <v>321</v>
      </c>
      <c r="H64" s="2" t="s">
        <v>320</v>
      </c>
      <c r="I64" s="2" t="str">
        <f t="shared" si="1"/>
        <v>0.986</v>
      </c>
      <c r="J64" s="2" t="str">
        <f t="shared" si="2"/>
        <v>28.064</v>
      </c>
      <c r="K64" s="2" t="str">
        <f t="shared" si="3"/>
        <v>0.6226</v>
      </c>
      <c r="L64" s="5">
        <v>8.99</v>
      </c>
      <c r="M64">
        <f>((8.99-L64)/8.99)*100</f>
        <v>0</v>
      </c>
    </row>
    <row r="65" spans="1:13" x14ac:dyDescent="0.35">
      <c r="A65" s="1" t="s">
        <v>9</v>
      </c>
      <c r="B65" t="str">
        <f t="shared" si="0"/>
        <v>C042</v>
      </c>
      <c r="C65" t="s">
        <v>37</v>
      </c>
      <c r="D65" t="s">
        <v>4</v>
      </c>
      <c r="E65">
        <v>2</v>
      </c>
      <c r="F65" s="2" t="s">
        <v>323</v>
      </c>
      <c r="G65" s="2" t="s">
        <v>324</v>
      </c>
      <c r="H65" s="2" t="s">
        <v>325</v>
      </c>
      <c r="I65" s="2" t="str">
        <f t="shared" si="1"/>
        <v>0.767</v>
      </c>
      <c r="J65" s="2" t="str">
        <f t="shared" si="2"/>
        <v>29.171</v>
      </c>
      <c r="K65" s="2" t="str">
        <f t="shared" si="3"/>
        <v>0.4653</v>
      </c>
      <c r="L65" s="3">
        <v>12.8</v>
      </c>
      <c r="M65">
        <f>((12.82-L65)/12.82)*100</f>
        <v>0.15600624024960666</v>
      </c>
    </row>
    <row r="66" spans="1:13" x14ac:dyDescent="0.35">
      <c r="A66" s="1" t="s">
        <v>10</v>
      </c>
      <c r="B66" t="str">
        <f t="shared" si="0"/>
        <v>C052</v>
      </c>
      <c r="C66" t="s">
        <v>37</v>
      </c>
      <c r="D66" t="s">
        <v>4</v>
      </c>
      <c r="E66">
        <v>2</v>
      </c>
      <c r="F66" s="2" t="s">
        <v>327</v>
      </c>
      <c r="G66" s="2" t="s">
        <v>326</v>
      </c>
      <c r="H66" s="2" t="s">
        <v>328</v>
      </c>
      <c r="I66" s="2" t="str">
        <f t="shared" si="1"/>
        <v>1.091</v>
      </c>
      <c r="J66" s="2" t="str">
        <f t="shared" si="2"/>
        <v>33.651</v>
      </c>
      <c r="K66" s="2" t="str">
        <f t="shared" si="3"/>
        <v>0.5779</v>
      </c>
      <c r="L66" s="3">
        <v>11.23</v>
      </c>
      <c r="M66">
        <f>((11.24-L66)/11.24)*100</f>
        <v>8.8967971530247214E-2</v>
      </c>
    </row>
    <row r="67" spans="1:13" x14ac:dyDescent="0.35">
      <c r="A67" s="1" t="s">
        <v>11</v>
      </c>
      <c r="B67" t="str">
        <f t="shared" ref="B67:B130" si="4">CONCATENATE(C67,A67,E67)</f>
        <v>C062</v>
      </c>
      <c r="C67" t="s">
        <v>37</v>
      </c>
      <c r="D67" t="s">
        <v>4</v>
      </c>
      <c r="E67">
        <v>2</v>
      </c>
      <c r="F67" s="2" t="s">
        <v>330</v>
      </c>
      <c r="G67" s="2" t="s">
        <v>329</v>
      </c>
      <c r="H67" s="2" t="s">
        <v>331</v>
      </c>
      <c r="I67" s="2" t="str">
        <f t="shared" ref="I67:I130" si="5">LEFT(F67,5)</f>
        <v>0.894</v>
      </c>
      <c r="J67" s="2" t="str">
        <f t="shared" ref="J67:K82" si="6">LEFT(G67,6)</f>
        <v>34.504</v>
      </c>
      <c r="K67" s="2" t="str">
        <f t="shared" si="6"/>
        <v>0.4586</v>
      </c>
      <c r="L67" s="3">
        <v>9.49</v>
      </c>
      <c r="M67">
        <f>((9.49-L67)/9.49)*100</f>
        <v>0</v>
      </c>
    </row>
    <row r="68" spans="1:13" x14ac:dyDescent="0.35">
      <c r="A68" s="1" t="s">
        <v>12</v>
      </c>
      <c r="B68" t="str">
        <f t="shared" si="4"/>
        <v>C072</v>
      </c>
      <c r="C68" t="s">
        <v>37</v>
      </c>
      <c r="D68" t="s">
        <v>4</v>
      </c>
      <c r="E68">
        <v>2</v>
      </c>
      <c r="F68" s="2" t="s">
        <v>334</v>
      </c>
      <c r="G68" s="2" t="s">
        <v>333</v>
      </c>
      <c r="H68" s="2" t="s">
        <v>332</v>
      </c>
      <c r="I68" s="2" t="str">
        <f t="shared" si="5"/>
        <v>0.891</v>
      </c>
      <c r="J68" s="2" t="str">
        <f t="shared" si="2"/>
        <v>31.160</v>
      </c>
      <c r="K68" s="2" t="str">
        <f t="shared" si="6"/>
        <v>0.5088</v>
      </c>
      <c r="L68" s="3">
        <v>12.19</v>
      </c>
      <c r="M68">
        <f>((12.19-L68)/12.19)*100</f>
        <v>0</v>
      </c>
    </row>
    <row r="69" spans="1:13" x14ac:dyDescent="0.35">
      <c r="A69" s="1" t="s">
        <v>13</v>
      </c>
      <c r="B69" t="str">
        <f t="shared" si="4"/>
        <v>C082</v>
      </c>
      <c r="C69" t="s">
        <v>37</v>
      </c>
      <c r="D69" t="s">
        <v>4</v>
      </c>
      <c r="E69">
        <v>2</v>
      </c>
      <c r="F69" s="2" t="s">
        <v>337</v>
      </c>
      <c r="G69" s="2" t="s">
        <v>336</v>
      </c>
      <c r="H69" s="2" t="s">
        <v>335</v>
      </c>
      <c r="I69" s="2" t="str">
        <f t="shared" si="5"/>
        <v>1.091</v>
      </c>
      <c r="J69" s="2" t="str">
        <f t="shared" ref="J69:K132" si="7">LEFT(G69,6)</f>
        <v>29.983</v>
      </c>
      <c r="K69" s="2" t="str">
        <f t="shared" si="6"/>
        <v>0.6451</v>
      </c>
      <c r="L69" s="3">
        <v>9</v>
      </c>
      <c r="M69">
        <f>((9.02-L69)/9.02)*100</f>
        <v>0.22172949002216821</v>
      </c>
    </row>
    <row r="70" spans="1:13" x14ac:dyDescent="0.35">
      <c r="A70" s="1" t="s">
        <v>14</v>
      </c>
      <c r="B70" t="str">
        <f t="shared" si="4"/>
        <v>C092</v>
      </c>
      <c r="C70" t="s">
        <v>37</v>
      </c>
      <c r="D70" t="s">
        <v>4</v>
      </c>
      <c r="E70">
        <v>2</v>
      </c>
      <c r="F70" s="2" t="s">
        <v>338</v>
      </c>
      <c r="G70" s="2" t="s">
        <v>339</v>
      </c>
      <c r="H70" s="2" t="s">
        <v>340</v>
      </c>
      <c r="I70" s="2" t="str">
        <f t="shared" si="5"/>
        <v>0.909</v>
      </c>
      <c r="J70" s="2" t="str">
        <f t="shared" si="7"/>
        <v>35.395</v>
      </c>
      <c r="K70" s="2" t="str">
        <f t="shared" si="6"/>
        <v>0.4554</v>
      </c>
      <c r="L70" s="5">
        <v>8.6999999999999993</v>
      </c>
      <c r="M70">
        <f>((8.66-L70)/8.66)*100</f>
        <v>-0.46189376443417024</v>
      </c>
    </row>
    <row r="71" spans="1:13" x14ac:dyDescent="0.35">
      <c r="A71" s="1" t="s">
        <v>15</v>
      </c>
      <c r="B71" t="str">
        <f t="shared" si="4"/>
        <v>C102</v>
      </c>
      <c r="C71" t="s">
        <v>37</v>
      </c>
      <c r="D71" t="s">
        <v>4</v>
      </c>
      <c r="E71">
        <v>2</v>
      </c>
      <c r="F71" s="2" t="s">
        <v>341</v>
      </c>
      <c r="G71" s="2" t="s">
        <v>342</v>
      </c>
      <c r="H71" s="2" t="s">
        <v>343</v>
      </c>
      <c r="I71" s="2" t="str">
        <f t="shared" si="5"/>
        <v>0.519</v>
      </c>
      <c r="J71" s="2" t="str">
        <f t="shared" si="7"/>
        <v>31.671</v>
      </c>
      <c r="K71" s="2" t="str">
        <f t="shared" si="6"/>
        <v>0.2905</v>
      </c>
      <c r="L71" s="3">
        <v>12.85</v>
      </c>
      <c r="M71">
        <f>((12.87-L71)/12.87)*100</f>
        <v>0.15540015540015212</v>
      </c>
    </row>
    <row r="72" spans="1:13" x14ac:dyDescent="0.35">
      <c r="A72" s="1" t="s">
        <v>16</v>
      </c>
      <c r="B72" t="str">
        <f t="shared" si="4"/>
        <v>C112</v>
      </c>
      <c r="C72" t="s">
        <v>37</v>
      </c>
      <c r="D72" t="s">
        <v>4</v>
      </c>
      <c r="E72">
        <v>2</v>
      </c>
      <c r="F72" s="2" t="s">
        <v>346</v>
      </c>
      <c r="G72" s="2" t="s">
        <v>345</v>
      </c>
      <c r="H72" s="2" t="s">
        <v>344</v>
      </c>
      <c r="I72" s="2" t="str">
        <f t="shared" si="5"/>
        <v>0.532</v>
      </c>
      <c r="J72" s="2" t="str">
        <f t="shared" si="7"/>
        <v>33.010</v>
      </c>
      <c r="K72" s="2" t="str">
        <f t="shared" si="6"/>
        <v>0.2865</v>
      </c>
      <c r="L72" s="3">
        <v>8.02</v>
      </c>
      <c r="M72">
        <f>((8.02-L72)/8.02)*100</f>
        <v>0</v>
      </c>
    </row>
    <row r="73" spans="1:13" x14ac:dyDescent="0.35">
      <c r="A73" s="1" t="s">
        <v>17</v>
      </c>
      <c r="B73" t="str">
        <f t="shared" si="4"/>
        <v>C122</v>
      </c>
      <c r="C73" t="s">
        <v>37</v>
      </c>
      <c r="D73" t="s">
        <v>4</v>
      </c>
      <c r="E73">
        <v>2</v>
      </c>
      <c r="F73" s="2" t="s">
        <v>349</v>
      </c>
      <c r="G73" s="2" t="s">
        <v>348</v>
      </c>
      <c r="H73" s="2" t="s">
        <v>347</v>
      </c>
      <c r="I73" s="2" t="str">
        <f t="shared" si="5"/>
        <v>0.960</v>
      </c>
      <c r="J73" s="2" t="str">
        <f t="shared" si="7"/>
        <v>29.915</v>
      </c>
      <c r="K73" s="2" t="str">
        <f t="shared" si="6"/>
        <v>0.5700</v>
      </c>
      <c r="L73" s="3">
        <v>9.01</v>
      </c>
      <c r="M73">
        <f>((9.02-L73)/9.02)*100</f>
        <v>0.11086474501108411</v>
      </c>
    </row>
    <row r="74" spans="1:13" x14ac:dyDescent="0.35">
      <c r="A74" s="1" t="s">
        <v>18</v>
      </c>
      <c r="B74" t="str">
        <f t="shared" si="4"/>
        <v>C132</v>
      </c>
      <c r="C74" t="s">
        <v>37</v>
      </c>
      <c r="D74" t="s">
        <v>4</v>
      </c>
      <c r="E74">
        <v>2</v>
      </c>
      <c r="F74" s="2" t="s">
        <v>351</v>
      </c>
      <c r="G74" s="2" t="s">
        <v>350</v>
      </c>
      <c r="H74" s="2" t="s">
        <v>352</v>
      </c>
      <c r="I74" s="2" t="str">
        <f t="shared" si="5"/>
        <v>0.793</v>
      </c>
      <c r="J74" s="2" t="str">
        <f t="shared" si="7"/>
        <v>30.349</v>
      </c>
      <c r="K74" s="2" t="str">
        <f t="shared" si="6"/>
        <v>0.4635</v>
      </c>
      <c r="L74" s="3">
        <v>10.65</v>
      </c>
      <c r="M74">
        <f>((10.68-L74)/10.68)*100</f>
        <v>0.28089887640448841</v>
      </c>
    </row>
    <row r="75" spans="1:13" x14ac:dyDescent="0.35">
      <c r="A75" s="1" t="s">
        <v>19</v>
      </c>
      <c r="B75" t="str">
        <f t="shared" si="4"/>
        <v>C142</v>
      </c>
      <c r="C75" t="s">
        <v>37</v>
      </c>
      <c r="D75" t="s">
        <v>4</v>
      </c>
      <c r="E75">
        <v>2</v>
      </c>
      <c r="F75" s="2" t="s">
        <v>357</v>
      </c>
      <c r="G75" s="2" t="s">
        <v>356</v>
      </c>
      <c r="H75" s="2" t="s">
        <v>358</v>
      </c>
      <c r="I75" s="2" t="str">
        <f t="shared" si="5"/>
        <v>0.893</v>
      </c>
      <c r="J75" s="2" t="str">
        <f t="shared" si="7"/>
        <v>32.339</v>
      </c>
      <c r="K75" s="2" t="str">
        <f t="shared" si="6"/>
        <v>0.4885</v>
      </c>
      <c r="L75" s="3">
        <v>9.2799999999999994</v>
      </c>
      <c r="M75">
        <f>((9.31-L75)/9.31)*100</f>
        <v>0.32223415682063516</v>
      </c>
    </row>
    <row r="76" spans="1:13" x14ac:dyDescent="0.35">
      <c r="A76" s="1" t="s">
        <v>20</v>
      </c>
      <c r="B76" t="str">
        <f t="shared" si="4"/>
        <v>C152</v>
      </c>
      <c r="C76" t="s">
        <v>37</v>
      </c>
      <c r="D76" t="s">
        <v>4</v>
      </c>
      <c r="E76">
        <v>2</v>
      </c>
      <c r="F76" s="2" t="s">
        <v>354</v>
      </c>
      <c r="G76" s="2" t="s">
        <v>353</v>
      </c>
      <c r="H76" s="2" t="s">
        <v>355</v>
      </c>
      <c r="I76" s="2" t="str">
        <f t="shared" si="5"/>
        <v>1.077</v>
      </c>
      <c r="J76" s="2" t="str">
        <f t="shared" si="7"/>
        <v>33.565</v>
      </c>
      <c r="K76" s="2" t="str">
        <f t="shared" si="6"/>
        <v>0.5701</v>
      </c>
      <c r="L76" s="3">
        <v>12.96</v>
      </c>
      <c r="M76">
        <f>((12.96-L76)/12.96)*100</f>
        <v>0</v>
      </c>
    </row>
    <row r="77" spans="1:13" x14ac:dyDescent="0.35">
      <c r="A77" s="1" t="s">
        <v>22</v>
      </c>
      <c r="B77" t="str">
        <f t="shared" si="4"/>
        <v>C162</v>
      </c>
      <c r="C77" t="s">
        <v>37</v>
      </c>
      <c r="D77" t="s">
        <v>4</v>
      </c>
      <c r="E77">
        <v>2</v>
      </c>
      <c r="F77" s="2" t="s">
        <v>359</v>
      </c>
      <c r="G77" s="2" t="s">
        <v>360</v>
      </c>
      <c r="H77" s="2" t="s">
        <v>361</v>
      </c>
      <c r="I77" s="2" t="str">
        <f t="shared" si="5"/>
        <v>0.837</v>
      </c>
      <c r="J77" s="2" t="str">
        <f t="shared" si="7"/>
        <v>28.280</v>
      </c>
      <c r="K77" s="2" t="str">
        <f t="shared" si="6"/>
        <v>0.5248</v>
      </c>
      <c r="L77" s="3">
        <v>12.99</v>
      </c>
      <c r="M77">
        <f>((13.01-L77)/13.01)*100</f>
        <v>0.15372790161413968</v>
      </c>
    </row>
    <row r="78" spans="1:13" x14ac:dyDescent="0.35">
      <c r="A78" s="1" t="s">
        <v>23</v>
      </c>
      <c r="B78" t="str">
        <f t="shared" si="4"/>
        <v>C172</v>
      </c>
      <c r="C78" t="s">
        <v>37</v>
      </c>
      <c r="D78" t="s">
        <v>4</v>
      </c>
      <c r="E78">
        <v>2</v>
      </c>
      <c r="F78" s="2" t="s">
        <v>362</v>
      </c>
      <c r="G78" s="2" t="s">
        <v>363</v>
      </c>
      <c r="H78" s="2" t="s">
        <v>364</v>
      </c>
      <c r="I78" s="2" t="str">
        <f t="shared" si="5"/>
        <v>1.031</v>
      </c>
      <c r="J78" s="2" t="str">
        <f t="shared" si="7"/>
        <v>33.264</v>
      </c>
      <c r="K78" s="2" t="str">
        <f t="shared" si="6"/>
        <v>0.5514</v>
      </c>
      <c r="L78" s="3">
        <v>8.2899999999999991</v>
      </c>
      <c r="M78">
        <f>((8.28-L78)/8.28)*100</f>
        <v>-0.12077294685990082</v>
      </c>
    </row>
    <row r="79" spans="1:13" x14ac:dyDescent="0.35">
      <c r="A79" s="1" t="s">
        <v>24</v>
      </c>
      <c r="B79" t="str">
        <f t="shared" si="4"/>
        <v>C182</v>
      </c>
      <c r="C79" t="s">
        <v>37</v>
      </c>
      <c r="D79" t="s">
        <v>4</v>
      </c>
      <c r="E79">
        <v>2</v>
      </c>
      <c r="F79" s="2" t="s">
        <v>365</v>
      </c>
      <c r="G79" s="2" t="s">
        <v>366</v>
      </c>
      <c r="H79" s="2" t="s">
        <v>367</v>
      </c>
      <c r="I79" s="2" t="str">
        <f t="shared" si="5"/>
        <v>1.100</v>
      </c>
      <c r="J79" s="2" t="str">
        <f t="shared" si="7"/>
        <v>34.098</v>
      </c>
      <c r="K79" s="2" t="str">
        <f t="shared" si="6"/>
        <v>0.5713</v>
      </c>
      <c r="L79" s="3">
        <v>8.57</v>
      </c>
      <c r="M79">
        <f>((8.57-L79)/8.57)*100</f>
        <v>0</v>
      </c>
    </row>
    <row r="80" spans="1:13" x14ac:dyDescent="0.35">
      <c r="A80" s="1" t="s">
        <v>25</v>
      </c>
      <c r="B80" t="str">
        <f t="shared" si="4"/>
        <v>C192</v>
      </c>
      <c r="C80" t="s">
        <v>37</v>
      </c>
      <c r="D80" t="s">
        <v>4</v>
      </c>
      <c r="E80">
        <v>2</v>
      </c>
      <c r="F80" s="2" t="s">
        <v>375</v>
      </c>
      <c r="G80" s="2" t="s">
        <v>374</v>
      </c>
      <c r="H80" s="2" t="s">
        <v>376</v>
      </c>
      <c r="I80" s="2" t="str">
        <f t="shared" si="5"/>
        <v>0.872</v>
      </c>
      <c r="J80" s="2" t="str">
        <f t="shared" si="7"/>
        <v>31.664</v>
      </c>
      <c r="K80" s="2" t="str">
        <f t="shared" si="6"/>
        <v>0.4878</v>
      </c>
      <c r="L80" s="3">
        <v>8.82</v>
      </c>
      <c r="M80">
        <f>((8.79-L80)/8.79)*100</f>
        <v>-0.34129692832765801</v>
      </c>
    </row>
    <row r="81" spans="1:13" x14ac:dyDescent="0.35">
      <c r="A81" s="1" t="s">
        <v>26</v>
      </c>
      <c r="B81" t="str">
        <f t="shared" si="4"/>
        <v>C202</v>
      </c>
      <c r="C81" t="s">
        <v>37</v>
      </c>
      <c r="D81" t="s">
        <v>4</v>
      </c>
      <c r="E81">
        <v>2</v>
      </c>
      <c r="F81" s="2" t="s">
        <v>369</v>
      </c>
      <c r="G81" s="2" t="s">
        <v>368</v>
      </c>
      <c r="H81" s="2" t="s">
        <v>370</v>
      </c>
      <c r="I81" s="2" t="str">
        <f t="shared" si="5"/>
        <v>0.860</v>
      </c>
      <c r="J81" s="2" t="str">
        <f t="shared" si="7"/>
        <v>34.441</v>
      </c>
      <c r="K81" s="2" t="str">
        <f t="shared" si="6"/>
        <v>0.4421</v>
      </c>
      <c r="L81" s="3">
        <v>8.58</v>
      </c>
      <c r="M81">
        <f>((8.56-L81)/8.56)*100</f>
        <v>-0.23364485981307911</v>
      </c>
    </row>
    <row r="82" spans="1:13" x14ac:dyDescent="0.35">
      <c r="A82" s="1" t="s">
        <v>27</v>
      </c>
      <c r="B82" t="str">
        <f t="shared" si="4"/>
        <v>C212</v>
      </c>
      <c r="C82" t="s">
        <v>37</v>
      </c>
      <c r="D82" t="s">
        <v>4</v>
      </c>
      <c r="E82">
        <v>2</v>
      </c>
      <c r="F82" s="2" t="s">
        <v>378</v>
      </c>
      <c r="G82" s="2" t="s">
        <v>377</v>
      </c>
      <c r="H82" s="2" t="s">
        <v>379</v>
      </c>
      <c r="I82" s="2" t="str">
        <f t="shared" si="5"/>
        <v>0.664</v>
      </c>
      <c r="J82" s="2" t="str">
        <f t="shared" si="7"/>
        <v>32.262</v>
      </c>
      <c r="K82" s="2" t="str">
        <f t="shared" si="6"/>
        <v>0.3645</v>
      </c>
      <c r="L82" s="3">
        <v>11.72</v>
      </c>
      <c r="M82">
        <f>((11.72-L82)/11.72)*100</f>
        <v>0</v>
      </c>
    </row>
    <row r="83" spans="1:13" x14ac:dyDescent="0.35">
      <c r="A83" s="1" t="s">
        <v>28</v>
      </c>
      <c r="B83" t="str">
        <f t="shared" si="4"/>
        <v>C222</v>
      </c>
      <c r="C83" t="s">
        <v>37</v>
      </c>
      <c r="D83" t="s">
        <v>4</v>
      </c>
      <c r="E83">
        <v>2</v>
      </c>
      <c r="F83" s="2" t="s">
        <v>380</v>
      </c>
      <c r="G83" s="2" t="s">
        <v>381</v>
      </c>
      <c r="H83" s="2" t="s">
        <v>382</v>
      </c>
      <c r="I83" s="2" t="str">
        <f t="shared" si="5"/>
        <v>0.436</v>
      </c>
      <c r="J83" s="2" t="str">
        <f t="shared" si="7"/>
        <v>31.463</v>
      </c>
      <c r="K83" s="2" t="str">
        <f t="shared" si="7"/>
        <v>0.2458</v>
      </c>
      <c r="L83" s="3">
        <v>10.19</v>
      </c>
      <c r="M83">
        <f>((10.19-L83)/10.19)*100</f>
        <v>0</v>
      </c>
    </row>
    <row r="84" spans="1:13" x14ac:dyDescent="0.35">
      <c r="A84" s="1" t="s">
        <v>29</v>
      </c>
      <c r="B84" t="str">
        <f t="shared" si="4"/>
        <v>C232</v>
      </c>
      <c r="C84" t="s">
        <v>37</v>
      </c>
      <c r="D84" t="s">
        <v>4</v>
      </c>
      <c r="E84">
        <v>2</v>
      </c>
      <c r="F84" s="2" t="s">
        <v>383</v>
      </c>
      <c r="G84" s="2" t="s">
        <v>384</v>
      </c>
      <c r="H84" s="2" t="s">
        <v>385</v>
      </c>
      <c r="I84" s="2" t="str">
        <f t="shared" si="5"/>
        <v>0.944</v>
      </c>
      <c r="J84" s="2" t="str">
        <f t="shared" si="7"/>
        <v>30.894</v>
      </c>
      <c r="K84" s="2" t="str">
        <f t="shared" si="7"/>
        <v>0.5433</v>
      </c>
      <c r="L84" s="3">
        <v>6.69</v>
      </c>
      <c r="M84">
        <f>((6.69-L84)/6.69)*100</f>
        <v>0</v>
      </c>
    </row>
    <row r="85" spans="1:13" x14ac:dyDescent="0.35">
      <c r="A85" s="1" t="s">
        <v>30</v>
      </c>
      <c r="B85" t="str">
        <f t="shared" si="4"/>
        <v>C242</v>
      </c>
      <c r="C85" t="s">
        <v>37</v>
      </c>
      <c r="D85" t="s">
        <v>4</v>
      </c>
      <c r="E85">
        <v>2</v>
      </c>
      <c r="F85" s="2" t="s">
        <v>386</v>
      </c>
      <c r="G85" s="2" t="s">
        <v>387</v>
      </c>
      <c r="H85" s="2" t="s">
        <v>388</v>
      </c>
      <c r="I85" s="2" t="str">
        <f t="shared" si="5"/>
        <v>0.719</v>
      </c>
      <c r="J85" s="2" t="str">
        <f t="shared" si="7"/>
        <v>31.829</v>
      </c>
      <c r="K85" s="2" t="str">
        <f t="shared" si="7"/>
        <v>0.4035</v>
      </c>
      <c r="L85" s="3">
        <v>6.96</v>
      </c>
      <c r="M85">
        <f>((6.98-L85)/6.98)*100</f>
        <v>0.28653295128940487</v>
      </c>
    </row>
    <row r="86" spans="1:13" x14ac:dyDescent="0.35">
      <c r="A86" s="1" t="s">
        <v>31</v>
      </c>
      <c r="B86" t="str">
        <f t="shared" si="4"/>
        <v>C252</v>
      </c>
      <c r="C86" t="s">
        <v>37</v>
      </c>
      <c r="D86" t="s">
        <v>4</v>
      </c>
      <c r="E86">
        <v>2</v>
      </c>
      <c r="F86" s="2" t="s">
        <v>389</v>
      </c>
      <c r="G86" s="2" t="s">
        <v>390</v>
      </c>
      <c r="H86" s="2" t="s">
        <v>391</v>
      </c>
      <c r="I86" s="2" t="str">
        <f t="shared" si="5"/>
        <v>0.669</v>
      </c>
      <c r="J86" s="2" t="str">
        <f t="shared" si="7"/>
        <v>36.267</v>
      </c>
      <c r="K86" s="2" t="str">
        <f t="shared" si="7"/>
        <v>0.3282</v>
      </c>
      <c r="L86" s="3">
        <v>11.76</v>
      </c>
      <c r="M86">
        <f>((11.74-L86)/11.74)*100</f>
        <v>-0.17035775127767949</v>
      </c>
    </row>
    <row r="87" spans="1:13" x14ac:dyDescent="0.35">
      <c r="A87" s="1" t="s">
        <v>32</v>
      </c>
      <c r="B87" t="str">
        <f t="shared" si="4"/>
        <v>C262</v>
      </c>
      <c r="C87" t="s">
        <v>37</v>
      </c>
      <c r="D87" t="s">
        <v>4</v>
      </c>
      <c r="E87">
        <v>2</v>
      </c>
      <c r="F87" s="2" t="s">
        <v>393</v>
      </c>
      <c r="G87" s="2" t="s">
        <v>392</v>
      </c>
      <c r="H87" s="2" t="s">
        <v>394</v>
      </c>
      <c r="I87" s="2" t="str">
        <f t="shared" si="5"/>
        <v>1.021</v>
      </c>
      <c r="J87" s="2" t="str">
        <f t="shared" si="7"/>
        <v>29.441</v>
      </c>
      <c r="K87" s="2" t="str">
        <f t="shared" si="7"/>
        <v>0.6229</v>
      </c>
      <c r="L87" s="3">
        <v>6.84</v>
      </c>
      <c r="M87">
        <f>((6.81-L87)/6.81)*100</f>
        <v>-0.44052863436123718</v>
      </c>
    </row>
    <row r="88" spans="1:13" x14ac:dyDescent="0.35">
      <c r="A88" s="1" t="s">
        <v>33</v>
      </c>
      <c r="B88" t="str">
        <f t="shared" si="4"/>
        <v>C272</v>
      </c>
      <c r="C88" t="s">
        <v>37</v>
      </c>
      <c r="D88" t="s">
        <v>4</v>
      </c>
      <c r="E88">
        <v>2</v>
      </c>
      <c r="F88" s="2" t="s">
        <v>395</v>
      </c>
      <c r="G88" s="2" t="s">
        <v>396</v>
      </c>
      <c r="H88" s="2" t="s">
        <v>397</v>
      </c>
      <c r="I88" s="2" t="str">
        <f t="shared" si="5"/>
        <v>0.745</v>
      </c>
      <c r="J88" s="2" t="str">
        <f t="shared" si="7"/>
        <v>23.941</v>
      </c>
      <c r="K88" s="2" t="str">
        <f t="shared" si="7"/>
        <v>0.5542</v>
      </c>
      <c r="L88" s="3">
        <v>13.22</v>
      </c>
      <c r="M88">
        <f>((13.23-L88)/13.23)*100</f>
        <v>7.5585789871502537E-2</v>
      </c>
    </row>
    <row r="89" spans="1:13" x14ac:dyDescent="0.35">
      <c r="A89" s="1" t="s">
        <v>34</v>
      </c>
      <c r="B89" t="str">
        <f t="shared" si="4"/>
        <v>C282</v>
      </c>
      <c r="C89" t="s">
        <v>37</v>
      </c>
      <c r="D89" t="s">
        <v>4</v>
      </c>
      <c r="E89">
        <v>2</v>
      </c>
      <c r="F89" s="2" t="s">
        <v>399</v>
      </c>
      <c r="G89" s="2" t="s">
        <v>398</v>
      </c>
      <c r="H89" s="2" t="s">
        <v>400</v>
      </c>
      <c r="I89" s="2" t="str">
        <f t="shared" si="5"/>
        <v>1.098</v>
      </c>
      <c r="J89" s="2" t="str">
        <f t="shared" si="7"/>
        <v>33.492</v>
      </c>
      <c r="K89" s="2" t="str">
        <f t="shared" si="7"/>
        <v>0.5816</v>
      </c>
      <c r="L89" s="3">
        <v>10.74</v>
      </c>
      <c r="M89">
        <f>((10.74-L89)/10.74)*100</f>
        <v>0</v>
      </c>
    </row>
    <row r="90" spans="1:13" x14ac:dyDescent="0.35">
      <c r="A90" s="1" t="s">
        <v>35</v>
      </c>
      <c r="B90" t="str">
        <f t="shared" si="4"/>
        <v>C292</v>
      </c>
      <c r="C90" t="s">
        <v>37</v>
      </c>
      <c r="D90" t="s">
        <v>4</v>
      </c>
      <c r="E90">
        <v>2</v>
      </c>
      <c r="F90" s="2" t="s">
        <v>401</v>
      </c>
      <c r="G90" s="2" t="s">
        <v>402</v>
      </c>
      <c r="H90" s="2">
        <v>0.40039999999999998</v>
      </c>
      <c r="I90" s="2" t="str">
        <f t="shared" si="5"/>
        <v>0.596</v>
      </c>
      <c r="J90" s="2" t="str">
        <f t="shared" si="7"/>
        <v>26.362</v>
      </c>
      <c r="K90" s="2" t="str">
        <f t="shared" si="7"/>
        <v>0.4004</v>
      </c>
      <c r="L90" s="3">
        <v>11.62</v>
      </c>
      <c r="M90">
        <f>((11.59-L90)/11.59)*100</f>
        <v>-0.25884383088869162</v>
      </c>
    </row>
    <row r="91" spans="1:13" x14ac:dyDescent="0.35">
      <c r="A91" s="1" t="s">
        <v>36</v>
      </c>
      <c r="B91" t="str">
        <f t="shared" si="4"/>
        <v>C302</v>
      </c>
      <c r="C91" t="s">
        <v>37</v>
      </c>
      <c r="D91" t="s">
        <v>4</v>
      </c>
      <c r="E91">
        <v>2</v>
      </c>
      <c r="F91" s="2" t="s">
        <v>404</v>
      </c>
      <c r="G91" s="2" t="s">
        <v>403</v>
      </c>
      <c r="H91" s="2" t="s">
        <v>405</v>
      </c>
      <c r="I91" s="2" t="str">
        <f t="shared" si="5"/>
        <v>0.672</v>
      </c>
      <c r="J91" s="2" t="str">
        <f t="shared" si="7"/>
        <v>31.096</v>
      </c>
      <c r="K91" s="2" t="str">
        <f t="shared" si="7"/>
        <v>0.3852</v>
      </c>
      <c r="L91" s="3">
        <v>9.36</v>
      </c>
      <c r="M91">
        <f>((9.38-L91)/9.38)*100</f>
        <v>0.21321961620470523</v>
      </c>
    </row>
    <row r="92" spans="1:13" x14ac:dyDescent="0.35">
      <c r="A92" s="1" t="s">
        <v>7</v>
      </c>
      <c r="B92" t="str">
        <f t="shared" si="4"/>
        <v>R012</v>
      </c>
      <c r="C92" t="s">
        <v>38</v>
      </c>
      <c r="D92" t="s">
        <v>5</v>
      </c>
      <c r="E92">
        <v>2</v>
      </c>
      <c r="F92" s="2" t="s">
        <v>225</v>
      </c>
      <c r="G92" s="2" t="s">
        <v>224</v>
      </c>
      <c r="H92" s="2" t="s">
        <v>226</v>
      </c>
      <c r="I92" s="2" t="str">
        <f t="shared" si="5"/>
        <v>0.601</v>
      </c>
      <c r="J92" s="2" t="str">
        <f t="shared" si="7"/>
        <v>25.241</v>
      </c>
      <c r="K92" s="2" t="str">
        <f t="shared" si="7"/>
        <v>0.4484</v>
      </c>
      <c r="L92" s="3">
        <v>10.039999999999999</v>
      </c>
      <c r="M92">
        <f>((10.2-L92)/10.2)*100</f>
        <v>1.5686274509803935</v>
      </c>
    </row>
    <row r="93" spans="1:13" x14ac:dyDescent="0.35">
      <c r="A93" s="1" t="s">
        <v>8</v>
      </c>
      <c r="B93" t="str">
        <f t="shared" si="4"/>
        <v>R022</v>
      </c>
      <c r="C93" t="s">
        <v>38</v>
      </c>
      <c r="D93" t="s">
        <v>5</v>
      </c>
      <c r="E93">
        <v>2</v>
      </c>
      <c r="F93" s="2" t="s">
        <v>229</v>
      </c>
      <c r="G93" s="2" t="s">
        <v>227</v>
      </c>
      <c r="H93" s="2" t="s">
        <v>228</v>
      </c>
      <c r="I93" s="2" t="str">
        <f t="shared" si="5"/>
        <v>1.057</v>
      </c>
      <c r="J93" s="2" t="str">
        <f t="shared" si="7"/>
        <v>32.082</v>
      </c>
      <c r="K93" s="2" t="str">
        <f t="shared" si="7"/>
        <v>0.5854</v>
      </c>
      <c r="L93" s="3">
        <v>8.73</v>
      </c>
      <c r="M93">
        <f>((8.9-L93)/8.9)*100</f>
        <v>1.9101123595505607</v>
      </c>
    </row>
    <row r="94" spans="1:13" x14ac:dyDescent="0.35">
      <c r="A94" s="1" t="s">
        <v>21</v>
      </c>
      <c r="B94" t="str">
        <f t="shared" si="4"/>
        <v>R032</v>
      </c>
      <c r="C94" t="s">
        <v>38</v>
      </c>
      <c r="D94" t="s">
        <v>5</v>
      </c>
      <c r="E94">
        <v>2</v>
      </c>
      <c r="F94" s="2" t="s">
        <v>231</v>
      </c>
      <c r="G94" s="2" t="s">
        <v>230</v>
      </c>
      <c r="H94" s="2" t="s">
        <v>232</v>
      </c>
      <c r="I94" s="2" t="str">
        <f t="shared" si="5"/>
        <v>0.689</v>
      </c>
      <c r="J94" s="2" t="str">
        <f t="shared" si="7"/>
        <v>28.530</v>
      </c>
      <c r="K94" s="2" t="str">
        <f t="shared" si="7"/>
        <v>0.4314</v>
      </c>
      <c r="L94" s="3">
        <v>7.63</v>
      </c>
      <c r="M94">
        <f>((7.72-L94)/7.72)*100</f>
        <v>1.1658031088082883</v>
      </c>
    </row>
    <row r="95" spans="1:13" x14ac:dyDescent="0.35">
      <c r="A95" s="1" t="s">
        <v>9</v>
      </c>
      <c r="B95" t="str">
        <f t="shared" si="4"/>
        <v>R042</v>
      </c>
      <c r="C95" t="s">
        <v>38</v>
      </c>
      <c r="D95" t="s">
        <v>5</v>
      </c>
      <c r="E95">
        <v>2</v>
      </c>
      <c r="F95" s="2" t="s">
        <v>235</v>
      </c>
      <c r="G95" s="2" t="s">
        <v>233</v>
      </c>
      <c r="H95" s="2" t="s">
        <v>234</v>
      </c>
      <c r="I95" s="2" t="str">
        <f t="shared" si="5"/>
        <v>0.806</v>
      </c>
      <c r="J95" s="2" t="str">
        <f t="shared" si="7"/>
        <v>32.662</v>
      </c>
      <c r="K95" s="2" t="str">
        <f t="shared" si="7"/>
        <v>0.4402</v>
      </c>
      <c r="L95" s="3">
        <v>6.58</v>
      </c>
      <c r="M95">
        <f>((6.71-L95)/6.71)*100</f>
        <v>1.9374068554396409</v>
      </c>
    </row>
    <row r="96" spans="1:13" x14ac:dyDescent="0.35">
      <c r="A96" s="1" t="s">
        <v>10</v>
      </c>
      <c r="B96" t="str">
        <f t="shared" si="4"/>
        <v>R052</v>
      </c>
      <c r="C96" t="s">
        <v>38</v>
      </c>
      <c r="D96" t="s">
        <v>5</v>
      </c>
      <c r="E96">
        <v>2</v>
      </c>
      <c r="F96" s="2" t="s">
        <v>238</v>
      </c>
      <c r="G96" s="2" t="s">
        <v>236</v>
      </c>
      <c r="H96" s="2" t="s">
        <v>237</v>
      </c>
      <c r="I96" s="2" t="str">
        <f t="shared" si="5"/>
        <v>0.889</v>
      </c>
      <c r="J96" s="2" t="str">
        <f t="shared" si="7"/>
        <v>29.644</v>
      </c>
      <c r="K96" s="2" t="str">
        <f t="shared" si="7"/>
        <v>0.5326</v>
      </c>
      <c r="L96" s="3">
        <v>7.48</v>
      </c>
      <c r="M96">
        <f>((7.58-L96)/7.58)*100</f>
        <v>1.3192612137203119</v>
      </c>
    </row>
    <row r="97" spans="1:13" x14ac:dyDescent="0.35">
      <c r="A97" s="1" t="s">
        <v>11</v>
      </c>
      <c r="B97" t="str">
        <f t="shared" si="4"/>
        <v>R062</v>
      </c>
      <c r="C97" t="s">
        <v>38</v>
      </c>
      <c r="D97" t="s">
        <v>5</v>
      </c>
      <c r="E97">
        <v>2</v>
      </c>
      <c r="F97" s="2" t="s">
        <v>241</v>
      </c>
      <c r="G97" s="2" t="s">
        <v>239</v>
      </c>
      <c r="H97" s="2" t="s">
        <v>240</v>
      </c>
      <c r="I97" s="2" t="str">
        <f t="shared" si="5"/>
        <v>0.470</v>
      </c>
      <c r="J97" s="2" t="str">
        <f t="shared" si="7"/>
        <v>31.316</v>
      </c>
      <c r="K97" s="2" t="str">
        <f t="shared" si="7"/>
        <v>0.2667</v>
      </c>
      <c r="L97" s="3">
        <v>8.3800000000000008</v>
      </c>
      <c r="M97">
        <f>((8.47-L97)/8.47)*100</f>
        <v>1.0625737898465155</v>
      </c>
    </row>
    <row r="98" spans="1:13" x14ac:dyDescent="0.35">
      <c r="A98" s="1" t="s">
        <v>12</v>
      </c>
      <c r="B98" t="str">
        <f t="shared" si="4"/>
        <v>R072</v>
      </c>
      <c r="C98" t="s">
        <v>38</v>
      </c>
      <c r="D98" t="s">
        <v>5</v>
      </c>
      <c r="E98">
        <v>2</v>
      </c>
      <c r="F98" s="2" t="s">
        <v>243</v>
      </c>
      <c r="G98" s="2" t="s">
        <v>242</v>
      </c>
      <c r="H98" s="2" t="s">
        <v>244</v>
      </c>
      <c r="I98" s="2" t="str">
        <f t="shared" si="5"/>
        <v>1.092</v>
      </c>
      <c r="J98" s="2" t="str">
        <f t="shared" si="7"/>
        <v>30.261</v>
      </c>
      <c r="K98" s="2" t="str">
        <f t="shared" si="7"/>
        <v>0.6424</v>
      </c>
      <c r="L98" s="3">
        <v>9.66</v>
      </c>
      <c r="M98">
        <f>((9.75-L98)/9.75)*100</f>
        <v>0.92307692307692157</v>
      </c>
    </row>
    <row r="99" spans="1:13" x14ac:dyDescent="0.35">
      <c r="A99" s="1" t="s">
        <v>13</v>
      </c>
      <c r="B99" t="str">
        <f t="shared" si="4"/>
        <v>R082</v>
      </c>
      <c r="C99" t="s">
        <v>38</v>
      </c>
      <c r="D99" t="s">
        <v>5</v>
      </c>
      <c r="E99">
        <v>2</v>
      </c>
      <c r="F99" s="2" t="s">
        <v>246</v>
      </c>
      <c r="G99" s="2" t="s">
        <v>245</v>
      </c>
      <c r="H99" s="2" t="s">
        <v>247</v>
      </c>
      <c r="I99" s="2" t="str">
        <f t="shared" si="5"/>
        <v>1.003</v>
      </c>
      <c r="J99" s="2" t="str">
        <f t="shared" si="7"/>
        <v>34.001</v>
      </c>
      <c r="K99" s="2" t="str">
        <f t="shared" si="7"/>
        <v>0.5246</v>
      </c>
      <c r="L99" s="3">
        <v>10.37</v>
      </c>
      <c r="M99">
        <f>((10.46-L99)/10.46)*100</f>
        <v>0.86042065009561786</v>
      </c>
    </row>
    <row r="100" spans="1:13" x14ac:dyDescent="0.35">
      <c r="A100" s="1" t="s">
        <v>14</v>
      </c>
      <c r="B100" t="str">
        <f t="shared" si="4"/>
        <v>R092</v>
      </c>
      <c r="C100" t="s">
        <v>38</v>
      </c>
      <c r="D100" t="s">
        <v>5</v>
      </c>
      <c r="E100">
        <v>2</v>
      </c>
      <c r="F100" s="2" t="s">
        <v>249</v>
      </c>
      <c r="G100" s="2" t="s">
        <v>248</v>
      </c>
      <c r="H100" s="2" t="s">
        <v>250</v>
      </c>
      <c r="I100" s="2" t="str">
        <f t="shared" si="5"/>
        <v>0.741</v>
      </c>
      <c r="J100" s="2" t="str">
        <f t="shared" si="7"/>
        <v>25.573</v>
      </c>
      <c r="K100" s="2" t="str">
        <f t="shared" si="7"/>
        <v>0.5158</v>
      </c>
      <c r="L100" s="3">
        <v>9.42</v>
      </c>
      <c r="M100">
        <f>((9.52-L100)/9.52)*100</f>
        <v>1.0504201680672232</v>
      </c>
    </row>
    <row r="101" spans="1:13" x14ac:dyDescent="0.35">
      <c r="A101" s="1" t="s">
        <v>15</v>
      </c>
      <c r="B101" t="str">
        <f t="shared" si="4"/>
        <v>R102</v>
      </c>
      <c r="C101" t="s">
        <v>38</v>
      </c>
      <c r="D101" t="s">
        <v>5</v>
      </c>
      <c r="E101">
        <v>2</v>
      </c>
      <c r="F101" s="2" t="s">
        <v>252</v>
      </c>
      <c r="G101" s="2" t="s">
        <v>251</v>
      </c>
      <c r="H101" s="2" t="s">
        <v>253</v>
      </c>
      <c r="I101" s="2" t="str">
        <f t="shared" si="5"/>
        <v>0.954</v>
      </c>
      <c r="J101" s="2" t="str">
        <f t="shared" si="7"/>
        <v>27.772</v>
      </c>
      <c r="K101" s="2" t="str">
        <f t="shared" si="7"/>
        <v>0.6078</v>
      </c>
      <c r="L101" s="3">
        <v>14.46</v>
      </c>
      <c r="M101">
        <f>((14.55-L101)/14.55)*100</f>
        <v>0.61855670103092686</v>
      </c>
    </row>
    <row r="102" spans="1:13" x14ac:dyDescent="0.35">
      <c r="A102" s="1" t="s">
        <v>16</v>
      </c>
      <c r="B102" t="str">
        <f t="shared" si="4"/>
        <v>R112</v>
      </c>
      <c r="C102" t="s">
        <v>38</v>
      </c>
      <c r="D102" t="s">
        <v>5</v>
      </c>
      <c r="E102">
        <v>2</v>
      </c>
      <c r="F102" s="2" t="s">
        <v>255</v>
      </c>
      <c r="G102" s="2" t="s">
        <v>254</v>
      </c>
      <c r="H102" s="2" t="s">
        <v>256</v>
      </c>
      <c r="I102" s="2" t="str">
        <f t="shared" si="5"/>
        <v>0.381</v>
      </c>
      <c r="J102" s="2" t="str">
        <f t="shared" si="7"/>
        <v>32.028</v>
      </c>
      <c r="K102" s="2" t="str">
        <f t="shared" si="7"/>
        <v>0.2117</v>
      </c>
      <c r="L102" s="3">
        <v>8.8800000000000008</v>
      </c>
      <c r="M102">
        <f>((8.99-L102)/8.99)*100</f>
        <v>1.2235817575083363</v>
      </c>
    </row>
    <row r="103" spans="1:13" x14ac:dyDescent="0.35">
      <c r="A103" s="1" t="s">
        <v>17</v>
      </c>
      <c r="B103" t="str">
        <f t="shared" si="4"/>
        <v>R122</v>
      </c>
      <c r="C103" t="s">
        <v>38</v>
      </c>
      <c r="D103" t="s">
        <v>5</v>
      </c>
      <c r="E103">
        <v>2</v>
      </c>
      <c r="F103" s="2" t="s">
        <v>257</v>
      </c>
      <c r="G103" s="2" t="s">
        <v>258</v>
      </c>
      <c r="H103" s="2" t="s">
        <v>259</v>
      </c>
      <c r="I103" s="2" t="str">
        <f t="shared" si="5"/>
        <v>1.112</v>
      </c>
      <c r="J103" s="2" t="str">
        <f t="shared" si="7"/>
        <v>29.645</v>
      </c>
      <c r="K103" s="2" t="str">
        <f t="shared" si="7"/>
        <v>0.6649</v>
      </c>
      <c r="L103" s="5">
        <v>9.4</v>
      </c>
      <c r="M103">
        <f>((9.52-L103)/9.52)*100</f>
        <v>1.2605042016806642</v>
      </c>
    </row>
    <row r="104" spans="1:13" x14ac:dyDescent="0.35">
      <c r="A104" s="1" t="s">
        <v>18</v>
      </c>
      <c r="B104" t="str">
        <f t="shared" si="4"/>
        <v>R132</v>
      </c>
      <c r="C104" t="s">
        <v>38</v>
      </c>
      <c r="D104" t="s">
        <v>5</v>
      </c>
      <c r="E104">
        <v>2</v>
      </c>
      <c r="F104" s="2" t="s">
        <v>261</v>
      </c>
      <c r="G104" s="2" t="s">
        <v>260</v>
      </c>
      <c r="H104" s="2" t="s">
        <v>262</v>
      </c>
      <c r="I104" s="2" t="str">
        <f t="shared" si="5"/>
        <v>0.570</v>
      </c>
      <c r="J104" s="2" t="str">
        <f t="shared" si="7"/>
        <v>30.817</v>
      </c>
      <c r="K104" s="2" t="str">
        <f t="shared" si="7"/>
        <v>0.3299</v>
      </c>
      <c r="L104" s="3">
        <v>10.45</v>
      </c>
      <c r="M104">
        <f>((10.58-L104)/10.58)*100</f>
        <v>1.2287334593572852</v>
      </c>
    </row>
    <row r="105" spans="1:13" x14ac:dyDescent="0.35">
      <c r="A105" s="1" t="s">
        <v>19</v>
      </c>
      <c r="B105" t="str">
        <f t="shared" si="4"/>
        <v>R142</v>
      </c>
      <c r="C105" t="s">
        <v>38</v>
      </c>
      <c r="D105" t="s">
        <v>5</v>
      </c>
      <c r="E105">
        <v>2</v>
      </c>
      <c r="F105" s="2" t="s">
        <v>265</v>
      </c>
      <c r="G105" s="2" t="s">
        <v>263</v>
      </c>
      <c r="H105" s="2" t="s">
        <v>264</v>
      </c>
      <c r="I105" s="2" t="str">
        <f t="shared" si="5"/>
        <v>0.478</v>
      </c>
      <c r="J105" s="2" t="str">
        <f t="shared" si="7"/>
        <v>28.939</v>
      </c>
      <c r="K105" s="2" t="str">
        <f t="shared" si="7"/>
        <v>0.2933</v>
      </c>
      <c r="L105" s="3">
        <v>11</v>
      </c>
      <c r="M105">
        <f>((11.2-L105)/11.2)*100</f>
        <v>1.7857142857142794</v>
      </c>
    </row>
    <row r="106" spans="1:13" x14ac:dyDescent="0.35">
      <c r="A106" s="1" t="s">
        <v>20</v>
      </c>
      <c r="B106" t="str">
        <f t="shared" si="4"/>
        <v>R152</v>
      </c>
      <c r="C106" t="s">
        <v>38</v>
      </c>
      <c r="D106" t="s">
        <v>5</v>
      </c>
      <c r="E106">
        <v>2</v>
      </c>
      <c r="F106" s="2" t="s">
        <v>266</v>
      </c>
      <c r="G106" s="2" t="s">
        <v>267</v>
      </c>
      <c r="H106" s="2" t="s">
        <v>268</v>
      </c>
      <c r="I106" s="2" t="str">
        <f t="shared" si="5"/>
        <v>1.024</v>
      </c>
      <c r="J106" s="2" t="str">
        <f t="shared" si="7"/>
        <v>30.768</v>
      </c>
      <c r="K106" s="2" t="str">
        <f t="shared" si="7"/>
        <v>0.5985</v>
      </c>
      <c r="L106" s="3">
        <v>10.210000000000001</v>
      </c>
      <c r="M106">
        <f>((10.33-L106)/10.33)*100</f>
        <v>1.161665053242974</v>
      </c>
    </row>
    <row r="107" spans="1:13" x14ac:dyDescent="0.35">
      <c r="A107" s="1" t="s">
        <v>22</v>
      </c>
      <c r="B107" t="str">
        <f t="shared" si="4"/>
        <v>R162</v>
      </c>
      <c r="C107" t="s">
        <v>38</v>
      </c>
      <c r="D107" t="s">
        <v>5</v>
      </c>
      <c r="E107">
        <v>2</v>
      </c>
      <c r="F107" s="2" t="s">
        <v>271</v>
      </c>
      <c r="G107" s="2" t="s">
        <v>269</v>
      </c>
      <c r="H107" s="2" t="s">
        <v>270</v>
      </c>
      <c r="I107" s="2" t="str">
        <f t="shared" si="5"/>
        <v>0.823</v>
      </c>
      <c r="J107" s="2" t="str">
        <f t="shared" si="7"/>
        <v>31.520</v>
      </c>
      <c r="K107" s="2" t="str">
        <f t="shared" si="7"/>
        <v>0.4646</v>
      </c>
      <c r="L107" s="5">
        <v>8.1999999999999993</v>
      </c>
      <c r="M107">
        <f>((8.36-L107)/8.36)*100</f>
        <v>1.913875598086126</v>
      </c>
    </row>
    <row r="108" spans="1:13" x14ac:dyDescent="0.35">
      <c r="A108" s="1" t="s">
        <v>23</v>
      </c>
      <c r="B108" t="str">
        <f t="shared" si="4"/>
        <v>R172</v>
      </c>
      <c r="C108" t="s">
        <v>38</v>
      </c>
      <c r="D108" t="s">
        <v>5</v>
      </c>
      <c r="E108">
        <v>2</v>
      </c>
      <c r="F108" s="2" t="s">
        <v>274</v>
      </c>
      <c r="G108" s="2" t="s">
        <v>272</v>
      </c>
      <c r="H108" s="2" t="s">
        <v>273</v>
      </c>
      <c r="I108" s="2" t="str">
        <f t="shared" si="5"/>
        <v>0.480</v>
      </c>
      <c r="J108" s="2" t="str">
        <f t="shared" si="7"/>
        <v>34.152</v>
      </c>
      <c r="K108" s="2" t="str">
        <f t="shared" si="7"/>
        <v>0.2516</v>
      </c>
      <c r="L108" s="3">
        <v>10.83</v>
      </c>
      <c r="M108">
        <f>((10.97-L108)/10.97)*100</f>
        <v>1.2762078395624481</v>
      </c>
    </row>
    <row r="109" spans="1:13" x14ac:dyDescent="0.35">
      <c r="A109" s="1" t="s">
        <v>24</v>
      </c>
      <c r="B109" t="str">
        <f t="shared" si="4"/>
        <v>R182</v>
      </c>
      <c r="C109" t="s">
        <v>38</v>
      </c>
      <c r="D109" t="s">
        <v>5</v>
      </c>
      <c r="E109">
        <v>2</v>
      </c>
      <c r="F109" s="2" t="s">
        <v>277</v>
      </c>
      <c r="G109" s="2" t="s">
        <v>276</v>
      </c>
      <c r="H109" s="2" t="s">
        <v>275</v>
      </c>
      <c r="I109" s="2" t="str">
        <f t="shared" si="5"/>
        <v>1.053</v>
      </c>
      <c r="J109" s="2" t="str">
        <f t="shared" si="7"/>
        <v>34.811</v>
      </c>
      <c r="K109" s="2" t="str">
        <f t="shared" si="7"/>
        <v>0.5353</v>
      </c>
      <c r="L109" s="3">
        <v>7.99</v>
      </c>
      <c r="M109">
        <f>((8.03-L109)/8.03)*100</f>
        <v>0.49813200498130944</v>
      </c>
    </row>
    <row r="110" spans="1:13" x14ac:dyDescent="0.35">
      <c r="A110" s="1" t="s">
        <v>25</v>
      </c>
      <c r="B110" t="str">
        <f t="shared" si="4"/>
        <v>R192</v>
      </c>
      <c r="C110" t="s">
        <v>38</v>
      </c>
      <c r="D110" t="s">
        <v>5</v>
      </c>
      <c r="E110">
        <v>2</v>
      </c>
      <c r="F110" s="2" t="s">
        <v>278</v>
      </c>
      <c r="G110" s="2" t="s">
        <v>279</v>
      </c>
      <c r="H110" s="2" t="s">
        <v>280</v>
      </c>
      <c r="I110" s="2" t="str">
        <f t="shared" si="5"/>
        <v>0.919</v>
      </c>
      <c r="J110" s="2" t="str">
        <f t="shared" si="7"/>
        <v>31.883</v>
      </c>
      <c r="K110" s="2" t="str">
        <f t="shared" si="7"/>
        <v>0.5116</v>
      </c>
      <c r="L110" s="3">
        <v>8.86</v>
      </c>
      <c r="M110">
        <f>((8.97-L110)/8.97)*100</f>
        <v>1.2263099219621092</v>
      </c>
    </row>
    <row r="111" spans="1:13" x14ac:dyDescent="0.35">
      <c r="A111" s="1" t="s">
        <v>26</v>
      </c>
      <c r="B111" t="str">
        <f t="shared" si="4"/>
        <v>R202</v>
      </c>
      <c r="C111" t="s">
        <v>38</v>
      </c>
      <c r="D111" t="s">
        <v>5</v>
      </c>
      <c r="E111">
        <v>2</v>
      </c>
      <c r="F111" s="2" t="s">
        <v>283</v>
      </c>
      <c r="G111" s="2" t="s">
        <v>282</v>
      </c>
      <c r="H111" s="2" t="s">
        <v>281</v>
      </c>
      <c r="I111" s="2" t="str">
        <f t="shared" si="5"/>
        <v>0.960</v>
      </c>
      <c r="J111" s="2" t="str">
        <f t="shared" si="7"/>
        <v>29.624</v>
      </c>
      <c r="K111" s="2" t="str">
        <f t="shared" si="7"/>
        <v>0.5846</v>
      </c>
      <c r="L111" s="3">
        <v>8.9700000000000006</v>
      </c>
      <c r="M111">
        <f>((9.17-L111)/9.17)*100</f>
        <v>2.1810250817884329</v>
      </c>
    </row>
    <row r="112" spans="1:13" x14ac:dyDescent="0.35">
      <c r="A112" s="1" t="s">
        <v>27</v>
      </c>
      <c r="B112" t="str">
        <f t="shared" si="4"/>
        <v>R212</v>
      </c>
      <c r="C112" t="s">
        <v>38</v>
      </c>
      <c r="D112" t="s">
        <v>5</v>
      </c>
      <c r="E112">
        <v>2</v>
      </c>
      <c r="F112" s="2" t="s">
        <v>284</v>
      </c>
      <c r="G112" s="2" t="s">
        <v>285</v>
      </c>
      <c r="H112" s="2" t="s">
        <v>286</v>
      </c>
      <c r="I112" s="2" t="str">
        <f t="shared" si="5"/>
        <v>0.556</v>
      </c>
      <c r="J112" s="2" t="str">
        <f t="shared" si="7"/>
        <v>31.735</v>
      </c>
      <c r="K112" s="2" t="str">
        <f t="shared" si="7"/>
        <v>0.3125</v>
      </c>
      <c r="L112" s="3">
        <v>10.88</v>
      </c>
      <c r="M112">
        <f>((11.02-L112)/11.02)*100</f>
        <v>1.2704174228675027</v>
      </c>
    </row>
    <row r="113" spans="1:13" x14ac:dyDescent="0.35">
      <c r="A113" s="1" t="s">
        <v>28</v>
      </c>
      <c r="B113" t="str">
        <f t="shared" si="4"/>
        <v>R222</v>
      </c>
      <c r="C113" t="s">
        <v>38</v>
      </c>
      <c r="D113" t="s">
        <v>5</v>
      </c>
      <c r="E113">
        <v>2</v>
      </c>
      <c r="F113" s="2" t="s">
        <v>289</v>
      </c>
      <c r="G113" s="2" t="s">
        <v>288</v>
      </c>
      <c r="H113" s="2" t="s">
        <v>287</v>
      </c>
      <c r="I113" s="2" t="str">
        <f t="shared" si="5"/>
        <v>0.877</v>
      </c>
      <c r="J113" s="2" t="str">
        <f t="shared" si="7"/>
        <v>32.807</v>
      </c>
      <c r="K113" s="2" t="str">
        <f t="shared" si="7"/>
        <v>0.4746</v>
      </c>
      <c r="L113" s="3">
        <v>11.13</v>
      </c>
      <c r="M113">
        <f>((11.2-L113)/11.2)*100</f>
        <v>0.62499999999998668</v>
      </c>
    </row>
    <row r="114" spans="1:13" x14ac:dyDescent="0.35">
      <c r="A114" s="1" t="s">
        <v>29</v>
      </c>
      <c r="B114" t="str">
        <f t="shared" si="4"/>
        <v>R232</v>
      </c>
      <c r="C114" t="s">
        <v>38</v>
      </c>
      <c r="D114" t="s">
        <v>5</v>
      </c>
      <c r="E114">
        <v>2</v>
      </c>
      <c r="F114" s="2" t="s">
        <v>292</v>
      </c>
      <c r="G114" s="2" t="s">
        <v>291</v>
      </c>
      <c r="H114" s="2" t="s">
        <v>290</v>
      </c>
      <c r="I114" s="2" t="str">
        <f t="shared" si="5"/>
        <v>1.137</v>
      </c>
      <c r="J114" s="2" t="str">
        <f t="shared" si="7"/>
        <v>34.688</v>
      </c>
      <c r="K114" s="2" t="str">
        <f t="shared" si="7"/>
        <v>0.5803</v>
      </c>
      <c r="L114" s="3">
        <v>10.32</v>
      </c>
      <c r="M114">
        <f>((10.41-L114)/10.41)*100</f>
        <v>0.8645533141210362</v>
      </c>
    </row>
    <row r="115" spans="1:13" x14ac:dyDescent="0.35">
      <c r="A115" s="1" t="s">
        <v>30</v>
      </c>
      <c r="B115" t="str">
        <f t="shared" si="4"/>
        <v>R242</v>
      </c>
      <c r="C115" t="s">
        <v>38</v>
      </c>
      <c r="D115" t="s">
        <v>5</v>
      </c>
      <c r="E115">
        <v>2</v>
      </c>
      <c r="F115" s="2" t="s">
        <v>293</v>
      </c>
      <c r="G115" s="2" t="s">
        <v>294</v>
      </c>
      <c r="H115" s="2" t="s">
        <v>295</v>
      </c>
      <c r="I115" s="2" t="str">
        <f t="shared" si="5"/>
        <v>1.013</v>
      </c>
      <c r="J115" s="2" t="str">
        <f t="shared" si="7"/>
        <v>31.800</v>
      </c>
      <c r="K115" s="2" t="str">
        <f t="shared" si="7"/>
        <v>0.5631</v>
      </c>
      <c r="L115" s="3">
        <v>11.82</v>
      </c>
      <c r="M115">
        <f>((11.96-L115)/11.96)*100</f>
        <v>1.1705685618729142</v>
      </c>
    </row>
    <row r="116" spans="1:13" x14ac:dyDescent="0.35">
      <c r="A116" s="1" t="s">
        <v>31</v>
      </c>
      <c r="B116" t="str">
        <f t="shared" si="4"/>
        <v>R252</v>
      </c>
      <c r="C116" t="s">
        <v>38</v>
      </c>
      <c r="D116" t="s">
        <v>5</v>
      </c>
      <c r="E116">
        <v>2</v>
      </c>
      <c r="F116" s="2" t="s">
        <v>298</v>
      </c>
      <c r="G116" s="2" t="s">
        <v>297</v>
      </c>
      <c r="H116" s="2" t="s">
        <v>296</v>
      </c>
      <c r="I116" s="2" t="str">
        <f t="shared" si="5"/>
        <v>0.651</v>
      </c>
      <c r="J116" s="2" t="str">
        <f t="shared" si="7"/>
        <v>30.911</v>
      </c>
      <c r="K116" s="2" t="str">
        <f t="shared" si="7"/>
        <v>0.3761</v>
      </c>
      <c r="L116" s="3">
        <v>11.69</v>
      </c>
      <c r="M116">
        <f>((11.77-L116)/11.77)*100</f>
        <v>0.67969413763806352</v>
      </c>
    </row>
    <row r="117" spans="1:13" x14ac:dyDescent="0.35">
      <c r="A117" s="1" t="s">
        <v>32</v>
      </c>
      <c r="B117" t="str">
        <f t="shared" si="4"/>
        <v>R262</v>
      </c>
      <c r="C117" t="s">
        <v>38</v>
      </c>
      <c r="D117" t="s">
        <v>5</v>
      </c>
      <c r="E117">
        <v>2</v>
      </c>
      <c r="F117" s="2" t="s">
        <v>299</v>
      </c>
      <c r="G117" s="2" t="s">
        <v>300</v>
      </c>
      <c r="H117" s="2" t="s">
        <v>301</v>
      </c>
      <c r="I117" s="2" t="str">
        <f t="shared" si="5"/>
        <v>0.636</v>
      </c>
      <c r="J117" s="2" t="str">
        <f t="shared" si="7"/>
        <v>27.430</v>
      </c>
      <c r="K117" s="2" t="str">
        <f t="shared" si="7"/>
        <v>0.4161</v>
      </c>
      <c r="L117" s="3">
        <v>12.65</v>
      </c>
      <c r="M117">
        <f>((12.72-L117)/12.72)*100</f>
        <v>0.55031446540880724</v>
      </c>
    </row>
    <row r="118" spans="1:13" x14ac:dyDescent="0.35">
      <c r="A118" s="1" t="s">
        <v>33</v>
      </c>
      <c r="B118" t="str">
        <f t="shared" si="4"/>
        <v>R272</v>
      </c>
      <c r="C118" t="s">
        <v>38</v>
      </c>
      <c r="D118" t="s">
        <v>5</v>
      </c>
      <c r="E118">
        <v>2</v>
      </c>
      <c r="F118" s="2" t="s">
        <v>303</v>
      </c>
      <c r="G118" s="2" t="s">
        <v>302</v>
      </c>
      <c r="H118" s="2" t="s">
        <v>304</v>
      </c>
      <c r="I118" s="2" t="str">
        <f t="shared" si="5"/>
        <v>0.724</v>
      </c>
      <c r="J118" s="2" t="str">
        <f t="shared" si="7"/>
        <v>26.589</v>
      </c>
      <c r="K118" s="2" t="str">
        <f t="shared" si="7"/>
        <v>0.4843</v>
      </c>
      <c r="L118" s="3">
        <v>12.97</v>
      </c>
      <c r="M118">
        <f>((13.02-L118)/13.02)*100</f>
        <v>0.38402457757295649</v>
      </c>
    </row>
    <row r="119" spans="1:13" x14ac:dyDescent="0.35">
      <c r="A119" s="1" t="s">
        <v>34</v>
      </c>
      <c r="B119" t="str">
        <f t="shared" si="4"/>
        <v>R282</v>
      </c>
      <c r="C119" t="s">
        <v>38</v>
      </c>
      <c r="D119" t="s">
        <v>5</v>
      </c>
      <c r="E119">
        <v>2</v>
      </c>
      <c r="F119" s="2" t="s">
        <v>305</v>
      </c>
      <c r="G119" s="2" t="s">
        <v>306</v>
      </c>
      <c r="H119" s="2" t="s">
        <v>307</v>
      </c>
      <c r="I119" s="2" t="str">
        <f t="shared" si="5"/>
        <v>0.874</v>
      </c>
      <c r="J119" s="2" t="str">
        <f t="shared" si="7"/>
        <v>27.389</v>
      </c>
      <c r="K119" s="2" t="str">
        <f t="shared" si="7"/>
        <v>0.5705</v>
      </c>
      <c r="L119" s="3">
        <v>10.029999999999999</v>
      </c>
      <c r="M119">
        <f>((10.13-L119)/10.13)*100</f>
        <v>0.98716683119448589</v>
      </c>
    </row>
    <row r="120" spans="1:13" x14ac:dyDescent="0.35">
      <c r="A120" s="1" t="s">
        <v>35</v>
      </c>
      <c r="B120" t="str">
        <f t="shared" si="4"/>
        <v>R292</v>
      </c>
      <c r="C120" t="s">
        <v>38</v>
      </c>
      <c r="D120" t="s">
        <v>5</v>
      </c>
      <c r="E120">
        <v>2</v>
      </c>
      <c r="F120" s="2" t="s">
        <v>308</v>
      </c>
      <c r="G120" s="2" t="s">
        <v>309</v>
      </c>
      <c r="H120" s="2" t="s">
        <v>310</v>
      </c>
      <c r="I120" s="2" t="str">
        <f t="shared" si="5"/>
        <v>0.611</v>
      </c>
      <c r="J120" s="2" t="str">
        <f t="shared" si="7"/>
        <v>27.741</v>
      </c>
      <c r="K120" s="2" t="str">
        <f t="shared" si="7"/>
        <v>0.3933</v>
      </c>
      <c r="L120" s="3">
        <v>8.4</v>
      </c>
      <c r="M120">
        <f>((8.49-L120)/8.49)*100</f>
        <v>1.0600706713780903</v>
      </c>
    </row>
    <row r="121" spans="1:13" x14ac:dyDescent="0.35">
      <c r="A121" s="1" t="s">
        <v>36</v>
      </c>
      <c r="B121" t="str">
        <f t="shared" si="4"/>
        <v>R302</v>
      </c>
      <c r="C121" t="s">
        <v>38</v>
      </c>
      <c r="D121" t="s">
        <v>5</v>
      </c>
      <c r="E121">
        <v>2</v>
      </c>
      <c r="F121" s="2" t="s">
        <v>312</v>
      </c>
      <c r="G121" s="2" t="s">
        <v>311</v>
      </c>
      <c r="H121" s="2" t="s">
        <v>313</v>
      </c>
      <c r="I121" s="2" t="str">
        <f t="shared" si="5"/>
        <v>1.106</v>
      </c>
      <c r="J121" s="2" t="str">
        <f t="shared" si="7"/>
        <v>33.367</v>
      </c>
      <c r="K121" s="2" t="str">
        <f t="shared" si="7"/>
        <v>0.5868</v>
      </c>
      <c r="L121" s="3">
        <v>7.67</v>
      </c>
      <c r="M121">
        <f>((7.78-L121)/7.78)*100</f>
        <v>1.4138817480719834</v>
      </c>
    </row>
    <row r="122" spans="1:13" x14ac:dyDescent="0.35">
      <c r="A122" s="1" t="s">
        <v>7</v>
      </c>
      <c r="B122" t="str">
        <f t="shared" si="4"/>
        <v>C013</v>
      </c>
      <c r="C122" t="str">
        <f>LEFT(D122,1)</f>
        <v>C</v>
      </c>
      <c r="D122" t="s">
        <v>4</v>
      </c>
      <c r="E122">
        <v>3</v>
      </c>
      <c r="F122" s="2" t="s">
        <v>520</v>
      </c>
      <c r="G122" s="2" t="s">
        <v>521</v>
      </c>
      <c r="H122" s="2" t="s">
        <v>522</v>
      </c>
      <c r="I122" s="2" t="str">
        <f t="shared" si="5"/>
        <v>0.951</v>
      </c>
      <c r="J122" s="2" t="str">
        <f t="shared" si="7"/>
        <v>28.929</v>
      </c>
      <c r="K122" s="2" t="str">
        <f t="shared" si="7"/>
        <v>0.5846</v>
      </c>
      <c r="L122" s="3">
        <v>10.66</v>
      </c>
      <c r="M122">
        <f>((10.71-L122)/10.71)*100</f>
        <v>0.46685340802988518</v>
      </c>
    </row>
    <row r="123" spans="1:13" x14ac:dyDescent="0.35">
      <c r="A123" s="1" t="s">
        <v>8</v>
      </c>
      <c r="B123" t="str">
        <f t="shared" si="4"/>
        <v>C023</v>
      </c>
      <c r="C123" t="str">
        <f t="shared" ref="C123:C186" si="8">LEFT(D123,1)</f>
        <v>C</v>
      </c>
      <c r="D123" t="s">
        <v>4</v>
      </c>
      <c r="E123">
        <v>3</v>
      </c>
      <c r="F123" s="2" t="s">
        <v>523</v>
      </c>
      <c r="G123" s="2" t="s">
        <v>524</v>
      </c>
      <c r="H123" s="2" t="s">
        <v>525</v>
      </c>
      <c r="I123" s="2" t="str">
        <f t="shared" si="5"/>
        <v>0.760</v>
      </c>
      <c r="J123" s="2" t="str">
        <f t="shared" si="7"/>
        <v>31.486</v>
      </c>
      <c r="K123" s="2" t="str">
        <f t="shared" si="7"/>
        <v>0.4281</v>
      </c>
      <c r="L123" s="3">
        <v>11</v>
      </c>
      <c r="M123">
        <f>((11.03-L123)/11.03)*100</f>
        <v>0.2719854941069752</v>
      </c>
    </row>
    <row r="124" spans="1:13" x14ac:dyDescent="0.35">
      <c r="A124" s="1" t="s">
        <v>21</v>
      </c>
      <c r="B124" t="str">
        <f t="shared" si="4"/>
        <v>C033</v>
      </c>
      <c r="C124" t="str">
        <f t="shared" si="8"/>
        <v>C</v>
      </c>
      <c r="D124" t="s">
        <v>4</v>
      </c>
      <c r="E124">
        <v>3</v>
      </c>
      <c r="F124" s="2" t="s">
        <v>526</v>
      </c>
      <c r="G124" s="2" t="s">
        <v>527</v>
      </c>
      <c r="H124" s="2" t="s">
        <v>528</v>
      </c>
      <c r="I124" s="2" t="str">
        <f t="shared" si="5"/>
        <v>0.460</v>
      </c>
      <c r="J124" s="2" t="str">
        <f t="shared" si="7"/>
        <v>32.033</v>
      </c>
      <c r="K124" s="2" t="str">
        <f t="shared" si="7"/>
        <v>0.2556</v>
      </c>
      <c r="L124" s="5">
        <v>8.98</v>
      </c>
      <c r="M124">
        <f>((8.99-L124)/8.99)*100</f>
        <v>0.11123470522802878</v>
      </c>
    </row>
    <row r="125" spans="1:13" x14ac:dyDescent="0.35">
      <c r="A125" s="1" t="s">
        <v>9</v>
      </c>
      <c r="B125" t="str">
        <f t="shared" si="4"/>
        <v>C043</v>
      </c>
      <c r="C125" t="str">
        <f t="shared" si="8"/>
        <v>C</v>
      </c>
      <c r="D125" t="s">
        <v>4</v>
      </c>
      <c r="E125">
        <v>3</v>
      </c>
      <c r="F125" s="2" t="s">
        <v>529</v>
      </c>
      <c r="G125" s="2" t="s">
        <v>530</v>
      </c>
      <c r="H125" s="2" t="s">
        <v>531</v>
      </c>
      <c r="I125" s="2" t="str">
        <f t="shared" si="5"/>
        <v>0.734</v>
      </c>
      <c r="J125" s="2" t="str">
        <f t="shared" si="7"/>
        <v>29.236</v>
      </c>
      <c r="K125" s="2" t="str">
        <f t="shared" si="7"/>
        <v>0.4489</v>
      </c>
      <c r="L125" s="3">
        <v>12.77</v>
      </c>
      <c r="M125">
        <f>((12.82-L125)/12.82)*100</f>
        <v>0.39001560062403046</v>
      </c>
    </row>
    <row r="126" spans="1:13" x14ac:dyDescent="0.35">
      <c r="A126" s="1" t="s">
        <v>10</v>
      </c>
      <c r="B126" t="str">
        <f t="shared" si="4"/>
        <v>C053</v>
      </c>
      <c r="C126" t="str">
        <f t="shared" si="8"/>
        <v>C</v>
      </c>
      <c r="D126" t="s">
        <v>4</v>
      </c>
      <c r="E126">
        <v>3</v>
      </c>
      <c r="F126" s="2" t="s">
        <v>535</v>
      </c>
      <c r="G126" s="2" t="s">
        <v>536</v>
      </c>
      <c r="H126" s="2" t="s">
        <v>537</v>
      </c>
      <c r="I126" s="2" t="str">
        <f t="shared" si="5"/>
        <v>1.032</v>
      </c>
      <c r="J126" s="2" t="str">
        <f t="shared" si="7"/>
        <v>27.838</v>
      </c>
      <c r="K126" s="2" t="str">
        <f t="shared" si="7"/>
        <v>0.6613</v>
      </c>
      <c r="L126" s="3">
        <v>11.2</v>
      </c>
      <c r="M126">
        <f>((11.24-L126)/11.24)*100</f>
        <v>0.35587188612100468</v>
      </c>
    </row>
    <row r="127" spans="1:13" x14ac:dyDescent="0.35">
      <c r="A127" s="1" t="s">
        <v>11</v>
      </c>
      <c r="B127" t="str">
        <f t="shared" si="4"/>
        <v>C063</v>
      </c>
      <c r="C127" t="str">
        <f t="shared" si="8"/>
        <v>C</v>
      </c>
      <c r="D127" t="s">
        <v>4</v>
      </c>
      <c r="E127">
        <v>3</v>
      </c>
      <c r="F127" s="2" t="s">
        <v>532</v>
      </c>
      <c r="G127" s="2" t="s">
        <v>533</v>
      </c>
      <c r="H127" s="2" t="s">
        <v>534</v>
      </c>
      <c r="I127" s="2" t="str">
        <f t="shared" si="5"/>
        <v>0.968</v>
      </c>
      <c r="J127" s="2" t="str">
        <f t="shared" si="7"/>
        <v>30.398</v>
      </c>
      <c r="K127" s="2" t="str">
        <f t="shared" si="7"/>
        <v>0.5648</v>
      </c>
      <c r="L127" s="3">
        <v>9.44</v>
      </c>
      <c r="M127">
        <f>((9.49-L127)/9.49)*100</f>
        <v>0.52687038988409596</v>
      </c>
    </row>
    <row r="128" spans="1:13" x14ac:dyDescent="0.35">
      <c r="A128" s="1" t="s">
        <v>12</v>
      </c>
      <c r="B128" t="str">
        <f t="shared" si="4"/>
        <v>C073</v>
      </c>
      <c r="C128" t="str">
        <f t="shared" si="8"/>
        <v>C</v>
      </c>
      <c r="D128" t="s">
        <v>4</v>
      </c>
      <c r="E128">
        <v>3</v>
      </c>
      <c r="F128" s="2" t="s">
        <v>538</v>
      </c>
      <c r="G128" s="2" t="s">
        <v>539</v>
      </c>
      <c r="H128" s="2" t="s">
        <v>540</v>
      </c>
      <c r="I128" s="2" t="str">
        <f t="shared" si="5"/>
        <v>0.934</v>
      </c>
      <c r="J128" s="2" t="str">
        <f t="shared" si="7"/>
        <v>32.009</v>
      </c>
      <c r="K128" s="2" t="str">
        <f t="shared" si="7"/>
        <v>0.5180</v>
      </c>
      <c r="L128" s="3">
        <v>12.17</v>
      </c>
      <c r="M128">
        <f>((12.19-L128)/12.19)*100</f>
        <v>0.16406890894175205</v>
      </c>
    </row>
    <row r="129" spans="1:13" x14ac:dyDescent="0.35">
      <c r="A129" s="1" t="s">
        <v>13</v>
      </c>
      <c r="B129" t="str">
        <f t="shared" si="4"/>
        <v>C083</v>
      </c>
      <c r="C129" t="str">
        <f t="shared" si="8"/>
        <v>C</v>
      </c>
      <c r="D129" t="s">
        <v>4</v>
      </c>
      <c r="E129">
        <v>3</v>
      </c>
      <c r="F129" s="2" t="s">
        <v>541</v>
      </c>
      <c r="G129" s="2" t="s">
        <v>542</v>
      </c>
      <c r="H129" s="2" t="s">
        <v>543</v>
      </c>
      <c r="I129" s="2" t="str">
        <f t="shared" si="5"/>
        <v>0.645</v>
      </c>
      <c r="J129" s="2" t="str">
        <f t="shared" si="7"/>
        <v>35.514</v>
      </c>
      <c r="K129" s="2" t="str">
        <f t="shared" si="7"/>
        <v>0.3236</v>
      </c>
      <c r="L129" s="3">
        <v>8.99</v>
      </c>
      <c r="M129">
        <f>((9.02-L129)/9.02)*100</f>
        <v>0.33259423503325236</v>
      </c>
    </row>
    <row r="130" spans="1:13" x14ac:dyDescent="0.35">
      <c r="A130" s="1" t="s">
        <v>14</v>
      </c>
      <c r="B130" t="str">
        <f t="shared" si="4"/>
        <v>C093</v>
      </c>
      <c r="C130" t="str">
        <f t="shared" si="8"/>
        <v>C</v>
      </c>
      <c r="D130" t="s">
        <v>4</v>
      </c>
      <c r="E130">
        <v>3</v>
      </c>
      <c r="F130" s="2" t="s">
        <v>544</v>
      </c>
      <c r="G130" s="2" t="s">
        <v>545</v>
      </c>
      <c r="H130" s="2" t="s">
        <v>546</v>
      </c>
      <c r="I130" s="2" t="str">
        <f t="shared" si="5"/>
        <v>0.517</v>
      </c>
      <c r="J130" s="2" t="str">
        <f t="shared" si="7"/>
        <v>30.554</v>
      </c>
      <c r="K130" s="2" t="str">
        <f t="shared" si="7"/>
        <v>0.3035</v>
      </c>
      <c r="L130" s="5">
        <v>8.64</v>
      </c>
      <c r="M130">
        <f>((8.66-L130)/8.66)*100</f>
        <v>0.23094688221708512</v>
      </c>
    </row>
    <row r="131" spans="1:13" x14ac:dyDescent="0.35">
      <c r="A131" s="1" t="s">
        <v>15</v>
      </c>
      <c r="B131" t="str">
        <f t="shared" ref="B131:B194" si="9">CONCATENATE(C131,A131,E131)</f>
        <v>C103</v>
      </c>
      <c r="C131" t="str">
        <f t="shared" si="8"/>
        <v>C</v>
      </c>
      <c r="D131" t="s">
        <v>4</v>
      </c>
      <c r="E131">
        <v>3</v>
      </c>
      <c r="F131" s="2" t="s">
        <v>547</v>
      </c>
      <c r="G131" s="2" t="s">
        <v>548</v>
      </c>
      <c r="H131" s="2" t="s">
        <v>549</v>
      </c>
      <c r="I131" s="2" t="str">
        <f t="shared" ref="I131:I194" si="10">LEFT(F131,5)</f>
        <v>1.062</v>
      </c>
      <c r="J131" s="2" t="str">
        <f t="shared" si="7"/>
        <v>34.469</v>
      </c>
      <c r="K131" s="2" t="str">
        <f t="shared" si="7"/>
        <v>0.5467</v>
      </c>
      <c r="L131" s="3">
        <v>12.8</v>
      </c>
      <c r="M131">
        <f>((12.87-L131)/12.87)*100</f>
        <v>0.54390054390053233</v>
      </c>
    </row>
    <row r="132" spans="1:13" x14ac:dyDescent="0.35">
      <c r="A132" s="1" t="s">
        <v>16</v>
      </c>
      <c r="B132" t="str">
        <f t="shared" si="9"/>
        <v>C113</v>
      </c>
      <c r="C132" t="str">
        <f t="shared" si="8"/>
        <v>C</v>
      </c>
      <c r="D132" t="s">
        <v>4</v>
      </c>
      <c r="E132">
        <v>3</v>
      </c>
      <c r="F132" s="2" t="s">
        <v>550</v>
      </c>
      <c r="G132" s="2" t="s">
        <v>551</v>
      </c>
      <c r="H132" s="2" t="s">
        <v>552</v>
      </c>
      <c r="I132" s="2" t="str">
        <f t="shared" si="10"/>
        <v>0.931</v>
      </c>
      <c r="J132" s="2" t="str">
        <f t="shared" si="7"/>
        <v>33.997</v>
      </c>
      <c r="K132" s="2" t="str">
        <f t="shared" si="7"/>
        <v>0.4855</v>
      </c>
      <c r="L132" s="3">
        <v>8</v>
      </c>
      <c r="M132">
        <f>((8.02-L132)/8.02)*100</f>
        <v>0.24937655860348598</v>
      </c>
    </row>
    <row r="133" spans="1:13" x14ac:dyDescent="0.35">
      <c r="A133" s="1" t="s">
        <v>17</v>
      </c>
      <c r="B133" t="str">
        <f t="shared" si="9"/>
        <v>C123</v>
      </c>
      <c r="C133" t="str">
        <f t="shared" si="8"/>
        <v>C</v>
      </c>
      <c r="D133" t="s">
        <v>4</v>
      </c>
      <c r="E133">
        <v>3</v>
      </c>
      <c r="F133" s="2" t="s">
        <v>553</v>
      </c>
      <c r="G133" s="2" t="s">
        <v>554</v>
      </c>
      <c r="H133" s="2" t="s">
        <v>555</v>
      </c>
      <c r="I133" s="2" t="str">
        <f t="shared" si="10"/>
        <v>1.144</v>
      </c>
      <c r="J133" s="2" t="str">
        <f t="shared" ref="J133:K196" si="11">LEFT(G133,6)</f>
        <v>34.652</v>
      </c>
      <c r="K133" s="2" t="str">
        <f t="shared" si="11"/>
        <v>0.5846</v>
      </c>
      <c r="L133" s="3">
        <v>9</v>
      </c>
      <c r="M133">
        <f>((9.02-L133)/9.02)*100</f>
        <v>0.22172949002216821</v>
      </c>
    </row>
    <row r="134" spans="1:13" x14ac:dyDescent="0.35">
      <c r="A134" s="1" t="s">
        <v>18</v>
      </c>
      <c r="B134" t="str">
        <f t="shared" si="9"/>
        <v>C133</v>
      </c>
      <c r="C134" t="str">
        <f t="shared" si="8"/>
        <v>C</v>
      </c>
      <c r="D134" t="s">
        <v>4</v>
      </c>
      <c r="E134">
        <v>3</v>
      </c>
      <c r="F134" s="2" t="s">
        <v>556</v>
      </c>
      <c r="G134" s="2" t="s">
        <v>557</v>
      </c>
      <c r="H134" s="2" t="s">
        <v>558</v>
      </c>
      <c r="I134" s="2" t="str">
        <f t="shared" si="10"/>
        <v>1.151</v>
      </c>
      <c r="J134" s="2" t="str">
        <f t="shared" si="11"/>
        <v>35.020</v>
      </c>
      <c r="K134" s="2" t="str">
        <f t="shared" si="11"/>
        <v>0.5851</v>
      </c>
      <c r="L134" s="3">
        <v>10.59</v>
      </c>
      <c r="M134">
        <f>((10.68-L134)/10.68)*100</f>
        <v>0.84269662921348187</v>
      </c>
    </row>
    <row r="135" spans="1:13" x14ac:dyDescent="0.35">
      <c r="A135" s="1" t="s">
        <v>19</v>
      </c>
      <c r="B135" t="str">
        <f t="shared" si="9"/>
        <v>C143</v>
      </c>
      <c r="C135" t="str">
        <f t="shared" si="8"/>
        <v>C</v>
      </c>
      <c r="D135" t="s">
        <v>4</v>
      </c>
      <c r="E135">
        <v>3</v>
      </c>
      <c r="F135" s="2" t="s">
        <v>559</v>
      </c>
      <c r="G135" s="2" t="s">
        <v>560</v>
      </c>
      <c r="H135" s="2" t="s">
        <v>561</v>
      </c>
      <c r="I135" s="2" t="str">
        <f t="shared" si="10"/>
        <v>0.933</v>
      </c>
      <c r="J135" s="2" t="str">
        <f t="shared" si="11"/>
        <v>26.308</v>
      </c>
      <c r="K135" s="2" t="str">
        <f t="shared" si="11"/>
        <v>0.6379</v>
      </c>
      <c r="L135" s="3">
        <v>9.27</v>
      </c>
      <c r="M135">
        <f>((9.31-L135)/9.31)*100</f>
        <v>0.42964554242750719</v>
      </c>
    </row>
    <row r="136" spans="1:13" x14ac:dyDescent="0.35">
      <c r="A136" s="1" t="s">
        <v>20</v>
      </c>
      <c r="B136" t="str">
        <f t="shared" si="9"/>
        <v>C153</v>
      </c>
      <c r="C136" t="str">
        <f t="shared" si="8"/>
        <v>C</v>
      </c>
      <c r="D136" t="s">
        <v>4</v>
      </c>
      <c r="E136">
        <v>3</v>
      </c>
      <c r="F136" s="2" t="s">
        <v>562</v>
      </c>
      <c r="G136" s="2" t="s">
        <v>563</v>
      </c>
      <c r="H136" s="2" t="s">
        <v>564</v>
      </c>
      <c r="I136" s="2" t="str">
        <f t="shared" si="10"/>
        <v>0.745</v>
      </c>
      <c r="J136" s="2" t="str">
        <f t="shared" si="11"/>
        <v>32.044</v>
      </c>
      <c r="K136" s="2" t="str">
        <f t="shared" si="11"/>
        <v>0.4140</v>
      </c>
      <c r="L136" s="3">
        <v>12.88</v>
      </c>
      <c r="M136">
        <f>((12.96-L136)/12.96)*100</f>
        <v>0.61728395061728447</v>
      </c>
    </row>
    <row r="137" spans="1:13" x14ac:dyDescent="0.35">
      <c r="A137" s="1" t="s">
        <v>22</v>
      </c>
      <c r="B137" t="str">
        <f t="shared" si="9"/>
        <v>C163</v>
      </c>
      <c r="C137" t="str">
        <f t="shared" si="8"/>
        <v>C</v>
      </c>
      <c r="D137" t="s">
        <v>4</v>
      </c>
      <c r="E137">
        <v>3</v>
      </c>
      <c r="F137" s="2" t="s">
        <v>566</v>
      </c>
      <c r="G137" s="2" t="s">
        <v>565</v>
      </c>
      <c r="H137" s="2" t="s">
        <v>567</v>
      </c>
      <c r="I137" s="2" t="str">
        <f t="shared" si="10"/>
        <v>0.618</v>
      </c>
      <c r="J137" s="2" t="str">
        <f t="shared" si="11"/>
        <v>29.275</v>
      </c>
      <c r="K137" s="2" t="str">
        <f t="shared" si="11"/>
        <v>0.3763</v>
      </c>
      <c r="L137" s="3">
        <v>12.97</v>
      </c>
      <c r="M137">
        <f>((13.01-L137)/13.01)*100</f>
        <v>0.30745580322827937</v>
      </c>
    </row>
    <row r="138" spans="1:13" x14ac:dyDescent="0.35">
      <c r="A138" s="1" t="s">
        <v>23</v>
      </c>
      <c r="B138" t="str">
        <f t="shared" si="9"/>
        <v>C173</v>
      </c>
      <c r="C138" t="str">
        <f t="shared" si="8"/>
        <v>C</v>
      </c>
      <c r="D138" t="s">
        <v>4</v>
      </c>
      <c r="E138">
        <v>3</v>
      </c>
      <c r="F138" s="2" t="s">
        <v>568</v>
      </c>
      <c r="G138" s="2" t="s">
        <v>569</v>
      </c>
      <c r="H138" s="2" t="s">
        <v>570</v>
      </c>
      <c r="I138" s="2" t="str">
        <f t="shared" si="10"/>
        <v>0.679</v>
      </c>
      <c r="J138" s="2" t="str">
        <f t="shared" si="11"/>
        <v>28.751</v>
      </c>
      <c r="K138" s="2" t="str">
        <f t="shared" si="11"/>
        <v>0.4253</v>
      </c>
      <c r="L138" s="3">
        <v>8.2200000000000006</v>
      </c>
      <c r="M138">
        <f>((8.28-L138)/8.28)*100</f>
        <v>0.72463768115940486</v>
      </c>
    </row>
    <row r="139" spans="1:13" x14ac:dyDescent="0.35">
      <c r="A139" s="1" t="s">
        <v>24</v>
      </c>
      <c r="B139" t="str">
        <f t="shared" si="9"/>
        <v>C183</v>
      </c>
      <c r="C139" t="str">
        <f t="shared" si="8"/>
        <v>C</v>
      </c>
      <c r="D139" t="s">
        <v>4</v>
      </c>
      <c r="E139">
        <v>3</v>
      </c>
      <c r="F139" s="2" t="s">
        <v>571</v>
      </c>
      <c r="G139" s="2" t="s">
        <v>572</v>
      </c>
      <c r="H139" s="2" t="s">
        <v>573</v>
      </c>
      <c r="I139" s="2" t="str">
        <f t="shared" si="10"/>
        <v>0.840</v>
      </c>
      <c r="J139" s="2" t="str">
        <f t="shared" si="11"/>
        <v>25.983</v>
      </c>
      <c r="K139" s="2" t="str">
        <f t="shared" si="11"/>
        <v>0.5734</v>
      </c>
      <c r="L139" s="3">
        <v>8.51</v>
      </c>
      <c r="M139">
        <f>((8.57-L139)/8.57)*100</f>
        <v>0.70011668611435818</v>
      </c>
    </row>
    <row r="140" spans="1:13" x14ac:dyDescent="0.35">
      <c r="A140" s="1" t="s">
        <v>25</v>
      </c>
      <c r="B140" t="str">
        <f t="shared" si="9"/>
        <v>C193</v>
      </c>
      <c r="C140" t="str">
        <f t="shared" si="8"/>
        <v>C</v>
      </c>
      <c r="D140" t="s">
        <v>4</v>
      </c>
      <c r="E140">
        <v>3</v>
      </c>
      <c r="F140" s="2" t="s">
        <v>574</v>
      </c>
      <c r="G140" s="2" t="s">
        <v>575</v>
      </c>
      <c r="H140" s="2" t="s">
        <v>576</v>
      </c>
      <c r="I140" s="2" t="str">
        <f t="shared" si="10"/>
        <v>1.073</v>
      </c>
      <c r="J140" s="2" t="str">
        <f t="shared" si="11"/>
        <v>28.827</v>
      </c>
      <c r="K140" s="2" t="str">
        <f t="shared" si="11"/>
        <v>0.6621</v>
      </c>
      <c r="L140" s="3">
        <v>8.77</v>
      </c>
      <c r="M140">
        <f>((8.79-L140)/8.79)*100</f>
        <v>0.22753128555175856</v>
      </c>
    </row>
    <row r="141" spans="1:13" x14ac:dyDescent="0.35">
      <c r="A141" s="1" t="s">
        <v>26</v>
      </c>
      <c r="B141" t="str">
        <f t="shared" si="9"/>
        <v>C203</v>
      </c>
      <c r="C141" t="str">
        <f t="shared" si="8"/>
        <v>C</v>
      </c>
      <c r="D141" t="s">
        <v>4</v>
      </c>
      <c r="E141">
        <v>3</v>
      </c>
      <c r="F141" s="2" t="s">
        <v>577</v>
      </c>
      <c r="G141" s="2" t="s">
        <v>578</v>
      </c>
      <c r="H141" s="2" t="s">
        <v>579</v>
      </c>
      <c r="I141" s="2" t="str">
        <f t="shared" si="10"/>
        <v>1.108</v>
      </c>
      <c r="J141" s="2" t="str">
        <f t="shared" si="11"/>
        <v>34.922</v>
      </c>
      <c r="K141" s="2" t="str">
        <f t="shared" si="11"/>
        <v>0.5667</v>
      </c>
      <c r="L141" s="3">
        <v>8.52</v>
      </c>
      <c r="M141">
        <f>((8.56-L141)/8.56)*100</f>
        <v>0.46728971962617905</v>
      </c>
    </row>
    <row r="142" spans="1:13" x14ac:dyDescent="0.35">
      <c r="A142" s="1" t="s">
        <v>27</v>
      </c>
      <c r="B142" t="str">
        <f t="shared" si="9"/>
        <v>C213</v>
      </c>
      <c r="C142" t="str">
        <f t="shared" si="8"/>
        <v>C</v>
      </c>
      <c r="D142" t="s">
        <v>4</v>
      </c>
      <c r="E142">
        <v>3</v>
      </c>
      <c r="F142" s="2" t="s">
        <v>581</v>
      </c>
      <c r="G142" s="2" t="s">
        <v>580</v>
      </c>
      <c r="H142" s="2" t="s">
        <v>582</v>
      </c>
      <c r="I142" s="2" t="str">
        <f t="shared" si="10"/>
        <v>0.954</v>
      </c>
      <c r="J142" s="2" t="str">
        <f t="shared" si="11"/>
        <v>33.921</v>
      </c>
      <c r="K142" s="2" t="str">
        <f t="shared" si="11"/>
        <v>0.4988</v>
      </c>
      <c r="L142" s="3">
        <v>11.64</v>
      </c>
      <c r="M142">
        <f>((11.72-L142)/11.72)*100</f>
        <v>0.6825938566552906</v>
      </c>
    </row>
    <row r="143" spans="1:13" x14ac:dyDescent="0.35">
      <c r="A143" s="1" t="s">
        <v>28</v>
      </c>
      <c r="B143" t="str">
        <f t="shared" si="9"/>
        <v>C223</v>
      </c>
      <c r="C143" t="str">
        <f t="shared" si="8"/>
        <v>C</v>
      </c>
      <c r="D143" t="s">
        <v>4</v>
      </c>
      <c r="E143">
        <v>3</v>
      </c>
      <c r="F143" s="2" t="s">
        <v>583</v>
      </c>
      <c r="G143" s="2" t="s">
        <v>584</v>
      </c>
      <c r="H143" s="2" t="s">
        <v>585</v>
      </c>
      <c r="I143" s="2" t="str">
        <f t="shared" si="10"/>
        <v>0.764</v>
      </c>
      <c r="J143" s="2" t="str">
        <f t="shared" si="11"/>
        <v>33.809</v>
      </c>
      <c r="K143" s="2" t="str">
        <f t="shared" si="11"/>
        <v>0.4046</v>
      </c>
      <c r="L143" s="3">
        <v>10.119999999999999</v>
      </c>
      <c r="M143">
        <f>((10.19-L143)/10.19)*100</f>
        <v>0.68694798822375158</v>
      </c>
    </row>
    <row r="144" spans="1:13" x14ac:dyDescent="0.35">
      <c r="A144" s="1" t="s">
        <v>29</v>
      </c>
      <c r="B144" t="str">
        <f t="shared" si="9"/>
        <v>C233</v>
      </c>
      <c r="C144" t="str">
        <f t="shared" si="8"/>
        <v>C</v>
      </c>
      <c r="D144" t="s">
        <v>4</v>
      </c>
      <c r="E144">
        <v>3</v>
      </c>
      <c r="F144" s="2" t="s">
        <v>586</v>
      </c>
      <c r="G144" s="2" t="s">
        <v>587</v>
      </c>
      <c r="H144" s="2" t="s">
        <v>588</v>
      </c>
      <c r="I144" s="2" t="str">
        <f t="shared" si="10"/>
        <v>1.078</v>
      </c>
      <c r="J144" s="2" t="str">
        <f t="shared" si="11"/>
        <v>36.584</v>
      </c>
      <c r="K144" s="2" t="str">
        <f t="shared" si="11"/>
        <v>0.5223</v>
      </c>
      <c r="L144" s="3">
        <v>6.62</v>
      </c>
      <c r="M144">
        <f>((6.69-L144)/6.69)*100</f>
        <v>1.0463378176382703</v>
      </c>
    </row>
    <row r="145" spans="1:13" x14ac:dyDescent="0.35">
      <c r="A145" s="1" t="s">
        <v>30</v>
      </c>
      <c r="B145" t="str">
        <f t="shared" si="9"/>
        <v>C243</v>
      </c>
      <c r="C145" t="str">
        <f t="shared" si="8"/>
        <v>C</v>
      </c>
      <c r="D145" t="s">
        <v>4</v>
      </c>
      <c r="E145">
        <v>3</v>
      </c>
      <c r="F145" s="2" t="s">
        <v>589</v>
      </c>
      <c r="G145" s="2" t="s">
        <v>590</v>
      </c>
      <c r="H145" s="2" t="s">
        <v>591</v>
      </c>
      <c r="I145" s="2" t="str">
        <f t="shared" si="10"/>
        <v>1.100</v>
      </c>
      <c r="J145" s="2" t="str">
        <f t="shared" si="11"/>
        <v>33.961</v>
      </c>
      <c r="K145" s="2" t="str">
        <f t="shared" si="11"/>
        <v>0.5748</v>
      </c>
      <c r="L145" s="3">
        <v>6.82</v>
      </c>
      <c r="M145">
        <f>((6.98-L145)/6.98)*100</f>
        <v>2.2922636103151883</v>
      </c>
    </row>
    <row r="146" spans="1:13" x14ac:dyDescent="0.35">
      <c r="A146" s="1" t="s">
        <v>31</v>
      </c>
      <c r="B146" t="str">
        <f t="shared" si="9"/>
        <v>C253</v>
      </c>
      <c r="C146" t="str">
        <f t="shared" si="8"/>
        <v>C</v>
      </c>
      <c r="D146" t="s">
        <v>4</v>
      </c>
      <c r="E146">
        <v>3</v>
      </c>
      <c r="F146" s="2" t="s">
        <v>592</v>
      </c>
      <c r="G146" s="2" t="s">
        <v>593</v>
      </c>
      <c r="H146" s="2" t="s">
        <v>594</v>
      </c>
      <c r="I146" s="2" t="str">
        <f t="shared" si="10"/>
        <v>0.671</v>
      </c>
      <c r="J146" s="2" t="str">
        <f t="shared" si="11"/>
        <v>30.340</v>
      </c>
      <c r="K146" s="2" t="str">
        <f t="shared" si="11"/>
        <v>0.3914</v>
      </c>
      <c r="L146" s="3">
        <v>11.69</v>
      </c>
      <c r="M146">
        <f>((11.74-L146)/11.74)*100</f>
        <v>0.42589437819421389</v>
      </c>
    </row>
    <row r="147" spans="1:13" x14ac:dyDescent="0.35">
      <c r="A147" s="1" t="s">
        <v>32</v>
      </c>
      <c r="B147" t="str">
        <f t="shared" si="9"/>
        <v>C263</v>
      </c>
      <c r="C147" t="str">
        <f t="shared" si="8"/>
        <v>C</v>
      </c>
      <c r="D147" t="s">
        <v>4</v>
      </c>
      <c r="E147">
        <v>3</v>
      </c>
      <c r="F147" s="2" t="s">
        <v>595</v>
      </c>
      <c r="G147" s="2" t="s">
        <v>596</v>
      </c>
      <c r="H147" s="2" t="s">
        <v>597</v>
      </c>
      <c r="I147" s="2" t="str">
        <f t="shared" si="10"/>
        <v>0.976</v>
      </c>
      <c r="J147" s="2" t="str">
        <f t="shared" si="11"/>
        <v>29.998</v>
      </c>
      <c r="K147" s="2" t="str">
        <f t="shared" si="11"/>
        <v>0.5769</v>
      </c>
      <c r="L147" s="3">
        <v>6.77</v>
      </c>
      <c r="M147">
        <f>((6.81-L147)/6.81)*100</f>
        <v>0.58737151248164521</v>
      </c>
    </row>
    <row r="148" spans="1:13" x14ac:dyDescent="0.35">
      <c r="A148" s="1" t="s">
        <v>33</v>
      </c>
      <c r="B148" t="str">
        <f t="shared" si="9"/>
        <v>C273</v>
      </c>
      <c r="C148" t="str">
        <f t="shared" si="8"/>
        <v>C</v>
      </c>
      <c r="D148" t="s">
        <v>4</v>
      </c>
      <c r="E148">
        <v>3</v>
      </c>
      <c r="F148" s="2" t="s">
        <v>598</v>
      </c>
      <c r="G148" s="2" t="s">
        <v>599</v>
      </c>
      <c r="H148" s="2" t="s">
        <v>600</v>
      </c>
      <c r="I148" s="2" t="str">
        <f t="shared" si="10"/>
        <v>1.030</v>
      </c>
      <c r="J148" s="2" t="str">
        <f t="shared" si="11"/>
        <v>32.618</v>
      </c>
      <c r="K148" s="2" t="str">
        <f t="shared" si="11"/>
        <v>0.5590</v>
      </c>
      <c r="L148" s="3">
        <v>13.15</v>
      </c>
      <c r="M148">
        <f>((13.23-L148)/13.23)*100</f>
        <v>0.60468631897203384</v>
      </c>
    </row>
    <row r="149" spans="1:13" x14ac:dyDescent="0.35">
      <c r="A149" s="1" t="s">
        <v>34</v>
      </c>
      <c r="B149" t="str">
        <f t="shared" si="9"/>
        <v>C283</v>
      </c>
      <c r="C149" t="str">
        <f t="shared" si="8"/>
        <v>C</v>
      </c>
      <c r="D149" t="s">
        <v>4</v>
      </c>
      <c r="E149">
        <v>3</v>
      </c>
      <c r="F149" s="2" t="s">
        <v>601</v>
      </c>
      <c r="G149" s="2" t="s">
        <v>602</v>
      </c>
      <c r="H149" s="2" t="s">
        <v>603</v>
      </c>
      <c r="I149" s="2" t="str">
        <f t="shared" si="10"/>
        <v>1.027</v>
      </c>
      <c r="J149" s="2" t="str">
        <f t="shared" si="11"/>
        <v>33.857</v>
      </c>
      <c r="K149" s="2" t="str">
        <f t="shared" si="11"/>
        <v>0.5382</v>
      </c>
      <c r="L149" s="3">
        <v>10.64</v>
      </c>
      <c r="M149">
        <f>((10.74-L149)/10.74)*100</f>
        <v>0.93109869646182153</v>
      </c>
    </row>
    <row r="150" spans="1:13" x14ac:dyDescent="0.35">
      <c r="A150" s="1" t="s">
        <v>35</v>
      </c>
      <c r="B150" t="str">
        <f t="shared" si="9"/>
        <v>C293</v>
      </c>
      <c r="C150" t="str">
        <f t="shared" si="8"/>
        <v>C</v>
      </c>
      <c r="D150" t="s">
        <v>4</v>
      </c>
      <c r="E150">
        <v>3</v>
      </c>
      <c r="F150" s="2" t="s">
        <v>604</v>
      </c>
      <c r="G150" s="2" t="s">
        <v>605</v>
      </c>
      <c r="H150" s="2" t="s">
        <v>606</v>
      </c>
      <c r="I150" s="2" t="str">
        <f t="shared" si="10"/>
        <v>0.794</v>
      </c>
      <c r="J150" s="2" t="str">
        <f t="shared" si="11"/>
        <v>32.880</v>
      </c>
      <c r="K150" s="2" t="str">
        <f t="shared" si="11"/>
        <v>0.4288</v>
      </c>
      <c r="L150" s="3">
        <v>11.53</v>
      </c>
      <c r="M150">
        <f>((11.59-L150)/11.59)*100</f>
        <v>0.51768766177739856</v>
      </c>
    </row>
    <row r="151" spans="1:13" x14ac:dyDescent="0.35">
      <c r="A151" s="1" t="s">
        <v>36</v>
      </c>
      <c r="B151" t="str">
        <f t="shared" si="9"/>
        <v>C303</v>
      </c>
      <c r="C151" t="str">
        <f t="shared" si="8"/>
        <v>C</v>
      </c>
      <c r="D151" t="s">
        <v>4</v>
      </c>
      <c r="E151">
        <v>3</v>
      </c>
      <c r="F151" s="2" t="s">
        <v>607</v>
      </c>
      <c r="G151" s="2" t="s">
        <v>608</v>
      </c>
      <c r="H151" s="2" t="s">
        <v>609</v>
      </c>
      <c r="I151" s="2" t="str">
        <f t="shared" si="10"/>
        <v>0.766</v>
      </c>
      <c r="J151" s="2" t="str">
        <f t="shared" si="11"/>
        <v>32.564</v>
      </c>
      <c r="K151" s="2" t="str">
        <f t="shared" si="11"/>
        <v>0.4162</v>
      </c>
      <c r="L151" s="3">
        <v>9.2799999999999994</v>
      </c>
      <c r="M151">
        <f>((9.38-L151)/9.38)*100</f>
        <v>1.0660980810234693</v>
      </c>
    </row>
    <row r="152" spans="1:13" x14ac:dyDescent="0.35">
      <c r="A152" s="1" t="s">
        <v>7</v>
      </c>
      <c r="B152" t="str">
        <f t="shared" si="9"/>
        <v>R013</v>
      </c>
      <c r="C152" t="str">
        <f t="shared" si="8"/>
        <v>R</v>
      </c>
      <c r="D152" t="s">
        <v>5</v>
      </c>
      <c r="E152">
        <v>3</v>
      </c>
      <c r="F152" s="2" t="s">
        <v>406</v>
      </c>
      <c r="G152" s="2" t="s">
        <v>407</v>
      </c>
      <c r="H152" s="2" t="s">
        <v>408</v>
      </c>
      <c r="I152" s="2" t="str">
        <f t="shared" si="10"/>
        <v>0.873</v>
      </c>
      <c r="J152" s="2" t="str">
        <f t="shared" si="11"/>
        <v>27.992</v>
      </c>
      <c r="K152" s="2" t="str">
        <f t="shared" si="11"/>
        <v>0.5527</v>
      </c>
      <c r="L152" s="3">
        <v>10</v>
      </c>
      <c r="M152">
        <f>((10.2-L152)/10.2)*100</f>
        <v>1.9607843137254832</v>
      </c>
    </row>
    <row r="153" spans="1:13" x14ac:dyDescent="0.35">
      <c r="A153" s="1" t="s">
        <v>8</v>
      </c>
      <c r="B153" t="str">
        <f t="shared" si="9"/>
        <v>R023</v>
      </c>
      <c r="C153" t="str">
        <f t="shared" si="8"/>
        <v>R</v>
      </c>
      <c r="D153" t="s">
        <v>5</v>
      </c>
      <c r="E153">
        <v>3</v>
      </c>
      <c r="F153" s="2" t="s">
        <v>409</v>
      </c>
      <c r="G153" s="2" t="s">
        <v>410</v>
      </c>
      <c r="H153" s="2" t="s">
        <v>411</v>
      </c>
      <c r="I153" s="2" t="str">
        <f t="shared" si="10"/>
        <v>0.702</v>
      </c>
      <c r="J153" s="2" t="str">
        <f t="shared" si="11"/>
        <v>28.108</v>
      </c>
      <c r="K153" s="2" t="str">
        <f t="shared" si="11"/>
        <v>0.4480</v>
      </c>
      <c r="L153" s="3">
        <v>8.65</v>
      </c>
      <c r="M153">
        <f>((8.9-L153)/8.9)*100</f>
        <v>2.8089887640449436</v>
      </c>
    </row>
    <row r="154" spans="1:13" x14ac:dyDescent="0.35">
      <c r="A154" s="1" t="s">
        <v>21</v>
      </c>
      <c r="B154" t="str">
        <f t="shared" si="9"/>
        <v>R033</v>
      </c>
      <c r="C154" t="str">
        <f t="shared" si="8"/>
        <v>R</v>
      </c>
      <c r="D154" t="s">
        <v>5</v>
      </c>
      <c r="E154">
        <v>3</v>
      </c>
      <c r="F154" s="2" t="s">
        <v>417</v>
      </c>
      <c r="G154" s="2" t="s">
        <v>415</v>
      </c>
      <c r="H154" s="2" t="s">
        <v>416</v>
      </c>
      <c r="I154" s="2" t="str">
        <f t="shared" si="10"/>
        <v>0.678</v>
      </c>
      <c r="J154" s="2" t="str">
        <f t="shared" si="11"/>
        <v>26.175</v>
      </c>
      <c r="K154" s="2" t="str">
        <f t="shared" si="11"/>
        <v>0.4599</v>
      </c>
      <c r="L154" s="3">
        <v>7.56</v>
      </c>
      <c r="M154">
        <f>((7.72-L154)/7.72)*100</f>
        <v>2.072538860103629</v>
      </c>
    </row>
    <row r="155" spans="1:13" x14ac:dyDescent="0.35">
      <c r="A155" s="1" t="s">
        <v>9</v>
      </c>
      <c r="B155" t="str">
        <f t="shared" si="9"/>
        <v>R043</v>
      </c>
      <c r="C155" t="str">
        <f t="shared" si="8"/>
        <v>R</v>
      </c>
      <c r="D155" t="s">
        <v>5</v>
      </c>
      <c r="E155">
        <v>3</v>
      </c>
      <c r="F155" s="2" t="s">
        <v>412</v>
      </c>
      <c r="G155" s="2" t="s">
        <v>413</v>
      </c>
      <c r="H155" s="2" t="s">
        <v>414</v>
      </c>
      <c r="I155" s="2" t="str">
        <f t="shared" si="10"/>
        <v>0.683</v>
      </c>
      <c r="J155" s="2" t="str">
        <f t="shared" si="11"/>
        <v>31.371</v>
      </c>
      <c r="K155" s="2" t="str">
        <f t="shared" si="11"/>
        <v>0.3871</v>
      </c>
      <c r="L155" s="3">
        <v>6.51</v>
      </c>
      <c r="M155">
        <f>((6.71-L155)/6.71)*100</f>
        <v>2.9806259314456063</v>
      </c>
    </row>
    <row r="156" spans="1:13" x14ac:dyDescent="0.35">
      <c r="A156" s="1" t="s">
        <v>10</v>
      </c>
      <c r="B156" t="str">
        <f t="shared" si="9"/>
        <v>R053</v>
      </c>
      <c r="C156" t="str">
        <f t="shared" si="8"/>
        <v>R</v>
      </c>
      <c r="D156" t="s">
        <v>5</v>
      </c>
      <c r="E156">
        <v>3</v>
      </c>
      <c r="F156" s="2" t="s">
        <v>420</v>
      </c>
      <c r="G156" s="2" t="s">
        <v>418</v>
      </c>
      <c r="H156" s="2" t="s">
        <v>419</v>
      </c>
      <c r="I156" s="2" t="str">
        <f t="shared" si="10"/>
        <v>0.904</v>
      </c>
      <c r="J156" s="2" t="str">
        <f t="shared" si="11"/>
        <v>22.664</v>
      </c>
      <c r="K156" s="2" t="str">
        <f t="shared" si="11"/>
        <v>0.7088</v>
      </c>
      <c r="L156" s="3">
        <v>7.38</v>
      </c>
      <c r="M156">
        <f>((7.58-L156)/7.58)*100</f>
        <v>2.6385224274406354</v>
      </c>
    </row>
    <row r="157" spans="1:13" x14ac:dyDescent="0.35">
      <c r="A157" s="1" t="s">
        <v>11</v>
      </c>
      <c r="B157" t="str">
        <f t="shared" si="9"/>
        <v>R063</v>
      </c>
      <c r="C157" t="str">
        <f t="shared" si="8"/>
        <v>R</v>
      </c>
      <c r="D157" t="s">
        <v>5</v>
      </c>
      <c r="E157">
        <v>3</v>
      </c>
      <c r="F157" s="2" t="s">
        <v>421</v>
      </c>
      <c r="G157" s="2" t="s">
        <v>422</v>
      </c>
      <c r="H157" s="2" t="s">
        <v>423</v>
      </c>
      <c r="I157" s="2" t="str">
        <f t="shared" si="10"/>
        <v>0.651</v>
      </c>
      <c r="J157" s="2" t="str">
        <f t="shared" si="11"/>
        <v>29.794</v>
      </c>
      <c r="K157" s="2" t="str">
        <f t="shared" si="11"/>
        <v>0.3889</v>
      </c>
      <c r="L157" s="3">
        <v>8.2899999999999991</v>
      </c>
      <c r="M157">
        <f>((8.47-L157)/8.47)*100</f>
        <v>2.1251475796930519</v>
      </c>
    </row>
    <row r="158" spans="1:13" x14ac:dyDescent="0.35">
      <c r="A158" s="1" t="s">
        <v>12</v>
      </c>
      <c r="B158" t="str">
        <f t="shared" si="9"/>
        <v>R073</v>
      </c>
      <c r="C158" t="str">
        <f t="shared" si="8"/>
        <v>R</v>
      </c>
      <c r="D158" t="s">
        <v>5</v>
      </c>
      <c r="E158">
        <v>3</v>
      </c>
      <c r="F158" s="2" t="s">
        <v>424</v>
      </c>
      <c r="G158" s="2" t="s">
        <v>425</v>
      </c>
      <c r="H158" s="2" t="s">
        <v>426</v>
      </c>
      <c r="I158" s="2" t="str">
        <f t="shared" si="10"/>
        <v>0.811</v>
      </c>
      <c r="J158" s="2" t="str">
        <f t="shared" si="11"/>
        <v>24.898</v>
      </c>
      <c r="K158" s="2" t="str">
        <f t="shared" si="11"/>
        <v>0.5996</v>
      </c>
      <c r="L158" s="3">
        <v>9.56</v>
      </c>
      <c r="M158">
        <f>((9.75-L158)/9.75)*100</f>
        <v>1.9487179487179436</v>
      </c>
    </row>
    <row r="159" spans="1:13" x14ac:dyDescent="0.35">
      <c r="A159" s="1" t="s">
        <v>13</v>
      </c>
      <c r="B159" t="str">
        <f t="shared" si="9"/>
        <v>R083</v>
      </c>
      <c r="C159" t="str">
        <f t="shared" si="8"/>
        <v>R</v>
      </c>
      <c r="D159" t="s">
        <v>5</v>
      </c>
      <c r="E159">
        <v>3</v>
      </c>
      <c r="F159" s="2" t="s">
        <v>427</v>
      </c>
      <c r="G159" s="2" t="s">
        <v>428</v>
      </c>
      <c r="H159" s="2" t="s">
        <v>429</v>
      </c>
      <c r="I159" s="2" t="str">
        <f t="shared" si="10"/>
        <v>0.628</v>
      </c>
      <c r="J159" s="2" t="str">
        <f t="shared" si="11"/>
        <v>30.301</v>
      </c>
      <c r="K159" s="2" t="str">
        <f t="shared" si="11"/>
        <v>0.3681</v>
      </c>
      <c r="L159" s="3">
        <v>10.29</v>
      </c>
      <c r="M159">
        <f>((10.46-L159)/10.46)*100</f>
        <v>1.6252390057361539</v>
      </c>
    </row>
    <row r="160" spans="1:13" x14ac:dyDescent="0.35">
      <c r="A160" s="1" t="s">
        <v>14</v>
      </c>
      <c r="B160" t="str">
        <f t="shared" si="9"/>
        <v>R093</v>
      </c>
      <c r="C160" t="str">
        <f t="shared" si="8"/>
        <v>R</v>
      </c>
      <c r="D160" t="s">
        <v>5</v>
      </c>
      <c r="E160">
        <v>3</v>
      </c>
      <c r="F160" s="2" t="s">
        <v>431</v>
      </c>
      <c r="G160" s="2" t="s">
        <v>430</v>
      </c>
      <c r="H160" s="2" t="s">
        <v>432</v>
      </c>
      <c r="I160" s="2" t="str">
        <f t="shared" si="10"/>
        <v>0.871</v>
      </c>
      <c r="J160" s="2" t="str">
        <f t="shared" si="11"/>
        <v>29.698</v>
      </c>
      <c r="K160" s="2" t="str">
        <f t="shared" si="11"/>
        <v>0.5206</v>
      </c>
      <c r="L160" s="3">
        <v>9.31</v>
      </c>
      <c r="M160">
        <f>((9.52-L160)/9.52)*100</f>
        <v>2.2058823529411669</v>
      </c>
    </row>
    <row r="161" spans="1:13" x14ac:dyDescent="0.35">
      <c r="A161" s="1" t="s">
        <v>15</v>
      </c>
      <c r="B161" t="str">
        <f t="shared" si="9"/>
        <v>R103</v>
      </c>
      <c r="C161" t="str">
        <f t="shared" si="8"/>
        <v>R</v>
      </c>
      <c r="D161" t="s">
        <v>5</v>
      </c>
      <c r="E161">
        <v>3</v>
      </c>
      <c r="F161" s="2" t="s">
        <v>433</v>
      </c>
      <c r="G161" s="2" t="s">
        <v>434</v>
      </c>
      <c r="H161" s="2" t="s">
        <v>435</v>
      </c>
      <c r="I161" s="2" t="str">
        <f t="shared" si="10"/>
        <v>1.054</v>
      </c>
      <c r="J161" s="2" t="str">
        <f t="shared" si="11"/>
        <v>21.742</v>
      </c>
      <c r="K161" s="2" t="str">
        <f t="shared" si="11"/>
        <v>0.8639</v>
      </c>
      <c r="L161" s="3">
        <v>14.34</v>
      </c>
      <c r="M161">
        <f>((14.55-L161)/14.55)*100</f>
        <v>1.4432989690721707</v>
      </c>
    </row>
    <row r="162" spans="1:13" x14ac:dyDescent="0.35">
      <c r="A162" s="1" t="s">
        <v>16</v>
      </c>
      <c r="B162" t="str">
        <f t="shared" si="9"/>
        <v>R113</v>
      </c>
      <c r="C162" t="str">
        <f t="shared" si="8"/>
        <v>R</v>
      </c>
      <c r="D162" t="s">
        <v>5</v>
      </c>
      <c r="E162">
        <v>3</v>
      </c>
      <c r="F162" s="2" t="s">
        <v>462</v>
      </c>
      <c r="G162" s="2" t="s">
        <v>460</v>
      </c>
      <c r="H162" s="2" t="s">
        <v>461</v>
      </c>
      <c r="I162" s="2" t="str">
        <f t="shared" si="10"/>
        <v>1.115</v>
      </c>
      <c r="J162" s="2" t="str">
        <f t="shared" si="11"/>
        <v>26.490</v>
      </c>
      <c r="K162" s="2" t="str">
        <f t="shared" si="11"/>
        <v>0.7527</v>
      </c>
      <c r="L162" s="3">
        <v>8.81</v>
      </c>
      <c r="M162">
        <f>((8.99-L162)/8.99)*100</f>
        <v>2.0022246941045574</v>
      </c>
    </row>
    <row r="163" spans="1:13" x14ac:dyDescent="0.35">
      <c r="A163" s="1" t="s">
        <v>17</v>
      </c>
      <c r="B163" t="str">
        <f t="shared" si="9"/>
        <v>R123</v>
      </c>
      <c r="C163" t="str">
        <f t="shared" si="8"/>
        <v>R</v>
      </c>
      <c r="D163" t="s">
        <v>5</v>
      </c>
      <c r="E163">
        <v>3</v>
      </c>
      <c r="F163" s="2" t="s">
        <v>463</v>
      </c>
      <c r="G163" s="2" t="s">
        <v>464</v>
      </c>
      <c r="H163" s="2" t="s">
        <v>465</v>
      </c>
      <c r="I163" s="2" t="str">
        <f t="shared" si="10"/>
        <v>1.083</v>
      </c>
      <c r="J163" s="2" t="str">
        <f t="shared" si="11"/>
        <v>29.998</v>
      </c>
      <c r="K163" s="2" t="str">
        <f t="shared" si="11"/>
        <v>0.6418</v>
      </c>
      <c r="L163" s="5">
        <v>9.32</v>
      </c>
      <c r="M163">
        <f>((9.52-L163)/9.52)*100</f>
        <v>2.1008403361344463</v>
      </c>
    </row>
    <row r="164" spans="1:13" x14ac:dyDescent="0.35">
      <c r="A164" s="1" t="s">
        <v>18</v>
      </c>
      <c r="B164" t="str">
        <f t="shared" si="9"/>
        <v>R133</v>
      </c>
      <c r="C164" t="str">
        <f t="shared" si="8"/>
        <v>R</v>
      </c>
      <c r="D164" t="s">
        <v>5</v>
      </c>
      <c r="E164">
        <v>3</v>
      </c>
      <c r="F164" s="2" t="s">
        <v>466</v>
      </c>
      <c r="G164" s="2" t="s">
        <v>467</v>
      </c>
      <c r="H164" s="2" t="s">
        <v>468</v>
      </c>
      <c r="I164" s="2" t="str">
        <f t="shared" si="10"/>
        <v>0.852</v>
      </c>
      <c r="J164" s="2" t="str">
        <f t="shared" si="11"/>
        <v>30.051</v>
      </c>
      <c r="K164" s="2" t="str">
        <f t="shared" si="11"/>
        <v>0.5043</v>
      </c>
      <c r="L164" s="3">
        <v>10.3</v>
      </c>
      <c r="M164">
        <f>((10.58-L164)/10.58)*100</f>
        <v>2.6465028355387465</v>
      </c>
    </row>
    <row r="165" spans="1:13" x14ac:dyDescent="0.35">
      <c r="A165" s="1" t="s">
        <v>19</v>
      </c>
      <c r="B165" t="str">
        <f t="shared" si="9"/>
        <v>R143</v>
      </c>
      <c r="C165" t="str">
        <f t="shared" si="8"/>
        <v>R</v>
      </c>
      <c r="D165" t="s">
        <v>5</v>
      </c>
      <c r="E165">
        <v>3</v>
      </c>
      <c r="F165" s="2" t="s">
        <v>469</v>
      </c>
      <c r="G165" s="2" t="s">
        <v>470</v>
      </c>
      <c r="H165" s="2" t="s">
        <v>471</v>
      </c>
      <c r="I165" s="2" t="str">
        <f t="shared" si="10"/>
        <v>0.798</v>
      </c>
      <c r="J165" s="2" t="str">
        <f t="shared" si="11"/>
        <v>27.806</v>
      </c>
      <c r="K165" s="2" t="str">
        <f t="shared" si="11"/>
        <v>0.5323</v>
      </c>
      <c r="L165" s="3">
        <v>10.96</v>
      </c>
      <c r="M165">
        <f>((11.2-L165)/11.2)*100</f>
        <v>2.142857142857129</v>
      </c>
    </row>
    <row r="166" spans="1:13" x14ac:dyDescent="0.35">
      <c r="A166" s="1" t="s">
        <v>20</v>
      </c>
      <c r="B166" t="str">
        <f t="shared" si="9"/>
        <v>R153</v>
      </c>
      <c r="C166" t="str">
        <f t="shared" si="8"/>
        <v>R</v>
      </c>
      <c r="D166" t="s">
        <v>5</v>
      </c>
      <c r="E166">
        <v>3</v>
      </c>
      <c r="F166" s="2" t="s">
        <v>472</v>
      </c>
      <c r="G166" s="2" t="s">
        <v>473</v>
      </c>
      <c r="H166" s="2" t="s">
        <v>474</v>
      </c>
      <c r="I166" s="2" t="str">
        <f t="shared" si="10"/>
        <v>0.780</v>
      </c>
      <c r="J166" s="2" t="str">
        <f t="shared" si="11"/>
        <v>22.877</v>
      </c>
      <c r="K166" s="2" t="str">
        <f t="shared" si="11"/>
        <v>0.6067</v>
      </c>
      <c r="L166" s="3">
        <v>10.14</v>
      </c>
      <c r="M166">
        <f>((10.33-L166)/10.33)*100</f>
        <v>1.8393030009680493</v>
      </c>
    </row>
    <row r="167" spans="1:13" x14ac:dyDescent="0.35">
      <c r="A167" s="1" t="s">
        <v>22</v>
      </c>
      <c r="B167" t="str">
        <f t="shared" si="9"/>
        <v>R163</v>
      </c>
      <c r="C167" t="str">
        <f t="shared" si="8"/>
        <v>R</v>
      </c>
      <c r="D167" t="s">
        <v>5</v>
      </c>
      <c r="E167">
        <v>3</v>
      </c>
      <c r="F167" s="2" t="s">
        <v>475</v>
      </c>
      <c r="G167" s="2" t="s">
        <v>476</v>
      </c>
      <c r="H167" s="2" t="s">
        <v>477</v>
      </c>
      <c r="I167" s="2" t="str">
        <f t="shared" si="10"/>
        <v>0.620</v>
      </c>
      <c r="J167" s="2" t="str">
        <f t="shared" si="11"/>
        <v>31.226</v>
      </c>
      <c r="K167" s="2" t="str">
        <f t="shared" si="11"/>
        <v>0.3543</v>
      </c>
      <c r="L167" s="5">
        <v>8.15</v>
      </c>
      <c r="M167">
        <f>((8.36-L167)/8.36)*100</f>
        <v>2.5119617224880275</v>
      </c>
    </row>
    <row r="168" spans="1:13" x14ac:dyDescent="0.35">
      <c r="A168" s="1" t="s">
        <v>23</v>
      </c>
      <c r="B168" t="str">
        <f t="shared" si="9"/>
        <v>R173</v>
      </c>
      <c r="C168" t="str">
        <f t="shared" si="8"/>
        <v>R</v>
      </c>
      <c r="D168" t="s">
        <v>5</v>
      </c>
      <c r="E168">
        <v>3</v>
      </c>
      <c r="F168" s="2" t="s">
        <v>478</v>
      </c>
      <c r="G168" s="2" t="s">
        <v>479</v>
      </c>
      <c r="H168" s="2" t="s">
        <v>480</v>
      </c>
      <c r="I168" s="2" t="str">
        <f t="shared" si="10"/>
        <v>0.750</v>
      </c>
      <c r="J168" s="2" t="str">
        <f t="shared" si="11"/>
        <v>31.630</v>
      </c>
      <c r="K168" s="2" t="str">
        <f t="shared" si="11"/>
        <v>0.4426</v>
      </c>
      <c r="L168" s="3">
        <v>10.76</v>
      </c>
      <c r="M168">
        <f>((10.97-L168)/10.97)*100</f>
        <v>1.914311759343672</v>
      </c>
    </row>
    <row r="169" spans="1:13" x14ac:dyDescent="0.35">
      <c r="A169" s="1" t="s">
        <v>24</v>
      </c>
      <c r="B169" t="str">
        <f t="shared" si="9"/>
        <v>R183</v>
      </c>
      <c r="C169" t="str">
        <f t="shared" si="8"/>
        <v>R</v>
      </c>
      <c r="D169" t="s">
        <v>5</v>
      </c>
      <c r="E169">
        <v>3</v>
      </c>
      <c r="F169" s="2" t="s">
        <v>481</v>
      </c>
      <c r="G169" s="2" t="s">
        <v>482</v>
      </c>
      <c r="H169" s="2" t="s">
        <v>483</v>
      </c>
      <c r="I169" s="2" t="str">
        <f t="shared" si="10"/>
        <v>0.889</v>
      </c>
      <c r="J169" s="2" t="str">
        <f t="shared" si="11"/>
        <v>26.585</v>
      </c>
      <c r="K169" s="2" t="str">
        <f t="shared" si="11"/>
        <v>0.5936</v>
      </c>
      <c r="L169" s="3">
        <v>7.96</v>
      </c>
      <c r="M169">
        <f>((8.03-L169)/8.03)*100</f>
        <v>0.87173100871730269</v>
      </c>
    </row>
    <row r="170" spans="1:13" x14ac:dyDescent="0.35">
      <c r="A170" s="1" t="s">
        <v>25</v>
      </c>
      <c r="B170" t="str">
        <f t="shared" si="9"/>
        <v>R193</v>
      </c>
      <c r="C170" t="str">
        <f t="shared" si="8"/>
        <v>R</v>
      </c>
      <c r="D170" t="s">
        <v>5</v>
      </c>
      <c r="E170">
        <v>3</v>
      </c>
      <c r="F170" s="2" t="s">
        <v>484</v>
      </c>
      <c r="G170" s="2" t="s">
        <v>485</v>
      </c>
      <c r="H170" s="2" t="s">
        <v>486</v>
      </c>
      <c r="I170" s="2" t="str">
        <f t="shared" si="10"/>
        <v>0.692</v>
      </c>
      <c r="J170" s="2" t="str">
        <f t="shared" si="11"/>
        <v>29.855</v>
      </c>
      <c r="K170" s="2" t="str">
        <f t="shared" si="11"/>
        <v>0.4218</v>
      </c>
      <c r="L170" s="3">
        <v>8.75</v>
      </c>
      <c r="M170">
        <f>((8.97-L170)/8.97)*100</f>
        <v>2.4526198439241984</v>
      </c>
    </row>
    <row r="171" spans="1:13" x14ac:dyDescent="0.35">
      <c r="A171" s="1" t="s">
        <v>26</v>
      </c>
      <c r="B171" t="str">
        <f t="shared" si="9"/>
        <v>R203</v>
      </c>
      <c r="C171" t="str">
        <f t="shared" si="8"/>
        <v>R</v>
      </c>
      <c r="D171" t="s">
        <v>5</v>
      </c>
      <c r="E171">
        <v>3</v>
      </c>
      <c r="F171" s="2" t="s">
        <v>487</v>
      </c>
      <c r="G171" s="2" t="s">
        <v>488</v>
      </c>
      <c r="H171" s="2" t="s">
        <v>489</v>
      </c>
      <c r="I171" s="2" t="str">
        <f t="shared" si="10"/>
        <v>1.089</v>
      </c>
      <c r="J171" s="2" t="str">
        <f t="shared" si="11"/>
        <v>33.104</v>
      </c>
      <c r="K171" s="2" t="str">
        <f t="shared" si="11"/>
        <v>0.5835</v>
      </c>
      <c r="L171" s="3">
        <v>8.9600000000000009</v>
      </c>
      <c r="M171">
        <f>((9.17-L171)/9.17)*100</f>
        <v>2.2900763358778526</v>
      </c>
    </row>
    <row r="172" spans="1:13" x14ac:dyDescent="0.35">
      <c r="A172" s="1" t="s">
        <v>27</v>
      </c>
      <c r="B172" t="str">
        <f t="shared" si="9"/>
        <v>R213</v>
      </c>
      <c r="C172" t="str">
        <f t="shared" si="8"/>
        <v>R</v>
      </c>
      <c r="D172" t="s">
        <v>5</v>
      </c>
      <c r="E172">
        <v>3</v>
      </c>
      <c r="F172" s="2" t="s">
        <v>490</v>
      </c>
      <c r="G172" s="2" t="s">
        <v>491</v>
      </c>
      <c r="H172" s="2" t="s">
        <v>492</v>
      </c>
      <c r="I172" s="2" t="str">
        <f t="shared" si="10"/>
        <v>0.677</v>
      </c>
      <c r="J172" s="2" t="str">
        <f t="shared" si="11"/>
        <v>29.996</v>
      </c>
      <c r="K172" s="2" t="str">
        <f t="shared" si="11"/>
        <v>0.4013</v>
      </c>
      <c r="L172" s="3">
        <v>10.79</v>
      </c>
      <c r="M172">
        <f>((11.02-L172)/11.02)*100</f>
        <v>2.0871143375680621</v>
      </c>
    </row>
    <row r="173" spans="1:13" x14ac:dyDescent="0.35">
      <c r="A173" s="1" t="s">
        <v>28</v>
      </c>
      <c r="B173" t="str">
        <f t="shared" si="9"/>
        <v>R223</v>
      </c>
      <c r="C173" t="str">
        <f t="shared" si="8"/>
        <v>R</v>
      </c>
      <c r="D173" t="s">
        <v>5</v>
      </c>
      <c r="E173">
        <v>3</v>
      </c>
      <c r="F173" s="2" t="s">
        <v>493</v>
      </c>
      <c r="G173" s="2" t="s">
        <v>494</v>
      </c>
      <c r="H173" s="2" t="s">
        <v>495</v>
      </c>
      <c r="I173" s="2" t="str">
        <f t="shared" si="10"/>
        <v>0.704</v>
      </c>
      <c r="J173" s="2" t="str">
        <f t="shared" si="11"/>
        <v>31.586</v>
      </c>
      <c r="K173" s="2" t="str">
        <f t="shared" si="11"/>
        <v>0.3970</v>
      </c>
      <c r="L173" s="3">
        <v>11.02</v>
      </c>
      <c r="M173">
        <f>((11.2-L173)/11.2)*100</f>
        <v>1.6071428571428545</v>
      </c>
    </row>
    <row r="174" spans="1:13" x14ac:dyDescent="0.35">
      <c r="A174" s="1" t="s">
        <v>29</v>
      </c>
      <c r="B174" t="str">
        <f t="shared" si="9"/>
        <v>R233</v>
      </c>
      <c r="C174" t="str">
        <f t="shared" si="8"/>
        <v>R</v>
      </c>
      <c r="D174" t="s">
        <v>5</v>
      </c>
      <c r="E174">
        <v>3</v>
      </c>
      <c r="F174" s="2" t="s">
        <v>496</v>
      </c>
      <c r="G174" s="2" t="s">
        <v>497</v>
      </c>
      <c r="H174" s="2" t="s">
        <v>498</v>
      </c>
      <c r="I174" s="2" t="str">
        <f t="shared" si="10"/>
        <v>0.471</v>
      </c>
      <c r="J174" s="2" t="str">
        <f t="shared" si="11"/>
        <v>32.671</v>
      </c>
      <c r="K174" s="2" t="str">
        <f t="shared" si="11"/>
        <v>0.2600</v>
      </c>
      <c r="L174" s="3">
        <v>10.23</v>
      </c>
      <c r="M174">
        <f>((10.41-L174)/10.41)*100</f>
        <v>1.7291066282420724</v>
      </c>
    </row>
    <row r="175" spans="1:13" x14ac:dyDescent="0.35">
      <c r="A175" s="1" t="s">
        <v>30</v>
      </c>
      <c r="B175" t="str">
        <f t="shared" si="9"/>
        <v>R243</v>
      </c>
      <c r="C175" t="str">
        <f t="shared" si="8"/>
        <v>R</v>
      </c>
      <c r="D175" t="s">
        <v>5</v>
      </c>
      <c r="E175">
        <v>3</v>
      </c>
      <c r="F175" s="2" t="s">
        <v>499</v>
      </c>
      <c r="G175" s="2" t="s">
        <v>500</v>
      </c>
      <c r="H175" s="2" t="s">
        <v>501</v>
      </c>
      <c r="I175" s="2" t="str">
        <f t="shared" si="10"/>
        <v>0.849</v>
      </c>
      <c r="J175" s="2" t="str">
        <f t="shared" si="11"/>
        <v>27.065</v>
      </c>
      <c r="K175" s="2" t="str">
        <f t="shared" si="11"/>
        <v>0.5549</v>
      </c>
      <c r="L175" s="3">
        <v>11.7</v>
      </c>
      <c r="M175">
        <f>((11.96-L175)/11.96)*100</f>
        <v>2.1739130434782736</v>
      </c>
    </row>
    <row r="176" spans="1:13" x14ac:dyDescent="0.35">
      <c r="A176" s="1" t="s">
        <v>31</v>
      </c>
      <c r="B176" t="str">
        <f t="shared" si="9"/>
        <v>R253</v>
      </c>
      <c r="C176" t="str">
        <f t="shared" si="8"/>
        <v>R</v>
      </c>
      <c r="D176" t="s">
        <v>5</v>
      </c>
      <c r="E176">
        <v>3</v>
      </c>
      <c r="F176" s="2" t="s">
        <v>502</v>
      </c>
      <c r="G176" s="2" t="s">
        <v>503</v>
      </c>
      <c r="H176" s="2" t="s">
        <v>504</v>
      </c>
      <c r="I176" s="2" t="str">
        <f t="shared" si="10"/>
        <v>0.588</v>
      </c>
      <c r="J176" s="2" t="str">
        <f t="shared" si="11"/>
        <v>24.617</v>
      </c>
      <c r="K176" s="2" t="str">
        <f t="shared" si="11"/>
        <v>0.4270</v>
      </c>
      <c r="L176" s="3">
        <v>11.57</v>
      </c>
      <c r="M176">
        <f>((11.77-L176)/11.77)*100</f>
        <v>1.6992353440951513</v>
      </c>
    </row>
    <row r="177" spans="1:13" x14ac:dyDescent="0.35">
      <c r="A177" s="1" t="s">
        <v>32</v>
      </c>
      <c r="B177" t="str">
        <f t="shared" si="9"/>
        <v>R263</v>
      </c>
      <c r="C177" t="str">
        <f t="shared" si="8"/>
        <v>R</v>
      </c>
      <c r="D177" t="s">
        <v>5</v>
      </c>
      <c r="E177">
        <v>3</v>
      </c>
      <c r="F177" s="2" t="s">
        <v>505</v>
      </c>
      <c r="G177" s="2" t="s">
        <v>506</v>
      </c>
      <c r="H177" s="2" t="s">
        <v>507</v>
      </c>
      <c r="I177" s="2" t="str">
        <f t="shared" si="10"/>
        <v>0.605</v>
      </c>
      <c r="J177" s="2" t="str">
        <f t="shared" si="11"/>
        <v>19.096</v>
      </c>
      <c r="K177" s="2" t="str">
        <f t="shared" si="11"/>
        <v>0.5642</v>
      </c>
      <c r="L177" s="3">
        <v>12.52</v>
      </c>
      <c r="M177">
        <f>((12.72-L177)/12.72)*100</f>
        <v>1.5723270440251655</v>
      </c>
    </row>
    <row r="178" spans="1:13" x14ac:dyDescent="0.35">
      <c r="A178" s="1" t="s">
        <v>33</v>
      </c>
      <c r="B178" t="str">
        <f t="shared" si="9"/>
        <v>R273</v>
      </c>
      <c r="C178" t="str">
        <f t="shared" si="8"/>
        <v>R</v>
      </c>
      <c r="D178" t="s">
        <v>5</v>
      </c>
      <c r="E178">
        <v>3</v>
      </c>
      <c r="F178" s="2" t="s">
        <v>508</v>
      </c>
      <c r="G178" s="2" t="s">
        <v>509</v>
      </c>
      <c r="H178" s="2" t="s">
        <v>510</v>
      </c>
      <c r="I178" s="2" t="str">
        <f t="shared" si="10"/>
        <v>0.969</v>
      </c>
      <c r="J178" s="2" t="str">
        <f t="shared" si="11"/>
        <v>29.257</v>
      </c>
      <c r="K178" s="2" t="str">
        <f t="shared" si="11"/>
        <v>0.6106</v>
      </c>
      <c r="L178" s="3">
        <v>12.81</v>
      </c>
      <c r="M178">
        <f>((13.02-L178)/13.02)*100</f>
        <v>1.6129032258064446</v>
      </c>
    </row>
    <row r="179" spans="1:13" x14ac:dyDescent="0.35">
      <c r="A179" s="1" t="s">
        <v>34</v>
      </c>
      <c r="B179" t="str">
        <f t="shared" si="9"/>
        <v>R283</v>
      </c>
      <c r="C179" t="str">
        <f t="shared" si="8"/>
        <v>R</v>
      </c>
      <c r="D179" t="s">
        <v>5</v>
      </c>
      <c r="E179">
        <v>3</v>
      </c>
      <c r="F179" s="2" t="s">
        <v>511</v>
      </c>
      <c r="G179" s="2" t="s">
        <v>512</v>
      </c>
      <c r="H179" s="2" t="s">
        <v>513</v>
      </c>
      <c r="I179" s="2" t="str">
        <f t="shared" si="10"/>
        <v>1.093</v>
      </c>
      <c r="J179" s="2" t="str">
        <f t="shared" si="11"/>
        <v>33.863</v>
      </c>
      <c r="K179" s="2" t="str">
        <f t="shared" si="11"/>
        <v>0.5732</v>
      </c>
      <c r="L179" s="3">
        <v>9.99</v>
      </c>
      <c r="M179">
        <f>((10.13-L179)/10.13)*100</f>
        <v>1.3820335636722663</v>
      </c>
    </row>
    <row r="180" spans="1:13" x14ac:dyDescent="0.35">
      <c r="A180" s="1" t="s">
        <v>35</v>
      </c>
      <c r="B180" t="str">
        <f t="shared" si="9"/>
        <v>R293</v>
      </c>
      <c r="C180" t="str">
        <f t="shared" si="8"/>
        <v>R</v>
      </c>
      <c r="D180" t="s">
        <v>5</v>
      </c>
      <c r="E180">
        <v>3</v>
      </c>
      <c r="F180" s="2" t="s">
        <v>514</v>
      </c>
      <c r="G180" s="2" t="s">
        <v>515</v>
      </c>
      <c r="H180" s="2" t="s">
        <v>516</v>
      </c>
      <c r="I180" s="2" t="str">
        <f t="shared" si="10"/>
        <v>0.583</v>
      </c>
      <c r="J180" s="2" t="str">
        <f t="shared" si="11"/>
        <v>29.626</v>
      </c>
      <c r="K180" s="2" t="str">
        <f t="shared" si="11"/>
        <v>0.3493</v>
      </c>
      <c r="L180" s="3">
        <v>8.26</v>
      </c>
      <c r="M180">
        <f>((8.49-L180)/8.49)*100</f>
        <v>2.7090694935217954</v>
      </c>
    </row>
    <row r="181" spans="1:13" x14ac:dyDescent="0.35">
      <c r="A181" s="1" t="s">
        <v>36</v>
      </c>
      <c r="B181" t="str">
        <f t="shared" si="9"/>
        <v>R303</v>
      </c>
      <c r="C181" t="str">
        <f t="shared" si="8"/>
        <v>R</v>
      </c>
      <c r="D181" t="s">
        <v>5</v>
      </c>
      <c r="E181">
        <v>3</v>
      </c>
      <c r="F181" s="2" t="s">
        <v>517</v>
      </c>
      <c r="G181" s="2" t="s">
        <v>518</v>
      </c>
      <c r="H181" s="2" t="s">
        <v>519</v>
      </c>
      <c r="I181" s="2" t="str">
        <f t="shared" si="10"/>
        <v>1.357</v>
      </c>
      <c r="J181" s="2" t="str">
        <f t="shared" si="11"/>
        <v>31.090</v>
      </c>
      <c r="K181" s="2" t="str">
        <f t="shared" si="11"/>
        <v>0.7729</v>
      </c>
      <c r="L181" s="3">
        <v>7.57</v>
      </c>
      <c r="M181">
        <f>((7.78-L181)/7.78)*100</f>
        <v>2.6992287917737787</v>
      </c>
    </row>
    <row r="182" spans="1:13" x14ac:dyDescent="0.35">
      <c r="A182" s="1" t="s">
        <v>7</v>
      </c>
      <c r="B182" t="str">
        <f t="shared" si="9"/>
        <v>C014</v>
      </c>
      <c r="C182" t="str">
        <f t="shared" si="8"/>
        <v>C</v>
      </c>
      <c r="D182" t="s">
        <v>4</v>
      </c>
      <c r="E182">
        <v>4</v>
      </c>
      <c r="F182" s="2" t="s">
        <v>694</v>
      </c>
      <c r="G182" s="2" t="s">
        <v>695</v>
      </c>
      <c r="H182" s="2" t="s">
        <v>696</v>
      </c>
      <c r="I182" s="2" t="str">
        <f t="shared" si="10"/>
        <v>0.933</v>
      </c>
      <c r="J182" s="2" t="str">
        <f t="shared" si="11"/>
        <v>35.026</v>
      </c>
      <c r="K182" s="2" t="str">
        <f t="shared" si="11"/>
        <v>0.4787</v>
      </c>
      <c r="L182" s="3">
        <v>10.58</v>
      </c>
      <c r="M182">
        <f>((10.71-L182)/10.71)*100</f>
        <v>1.2138188608776916</v>
      </c>
    </row>
    <row r="183" spans="1:13" x14ac:dyDescent="0.35">
      <c r="A183" s="1" t="s">
        <v>8</v>
      </c>
      <c r="B183" t="str">
        <f t="shared" si="9"/>
        <v>C024</v>
      </c>
      <c r="C183" t="str">
        <f t="shared" si="8"/>
        <v>C</v>
      </c>
      <c r="D183" t="s">
        <v>4</v>
      </c>
      <c r="E183">
        <v>4</v>
      </c>
      <c r="F183" s="2" t="s">
        <v>697</v>
      </c>
      <c r="G183" s="2" t="s">
        <v>698</v>
      </c>
      <c r="H183" s="2" t="s">
        <v>699</v>
      </c>
      <c r="I183" s="2" t="str">
        <f t="shared" si="10"/>
        <v>0.977</v>
      </c>
      <c r="J183" s="2" t="str">
        <f t="shared" si="11"/>
        <v>33.775</v>
      </c>
      <c r="K183" s="2" t="str">
        <f t="shared" si="11"/>
        <v>0.5146</v>
      </c>
      <c r="L183" s="3">
        <v>10.98</v>
      </c>
      <c r="M183">
        <f>((11.03-L183)/11.03)*100</f>
        <v>0.45330915684495865</v>
      </c>
    </row>
    <row r="184" spans="1:13" x14ac:dyDescent="0.35">
      <c r="A184" s="1" t="s">
        <v>21</v>
      </c>
      <c r="B184" t="str">
        <f t="shared" si="9"/>
        <v>C034</v>
      </c>
      <c r="C184" t="str">
        <f t="shared" si="8"/>
        <v>C</v>
      </c>
      <c r="D184" t="s">
        <v>4</v>
      </c>
      <c r="E184">
        <v>4</v>
      </c>
      <c r="F184" s="2" t="s">
        <v>700</v>
      </c>
      <c r="G184" s="2" t="s">
        <v>701</v>
      </c>
      <c r="H184" s="2" t="s">
        <v>702</v>
      </c>
      <c r="I184" s="2" t="str">
        <f t="shared" si="10"/>
        <v>0.483</v>
      </c>
      <c r="J184" s="2" t="str">
        <f t="shared" si="11"/>
        <v>34.044</v>
      </c>
      <c r="K184" s="2" t="str">
        <f t="shared" si="11"/>
        <v>0.2549</v>
      </c>
      <c r="L184" s="3">
        <v>8.8800000000000008</v>
      </c>
      <c r="M184">
        <f>((8.99-L184)/8.99)*100</f>
        <v>1.2235817575083363</v>
      </c>
    </row>
    <row r="185" spans="1:13" x14ac:dyDescent="0.35">
      <c r="A185" s="1" t="s">
        <v>9</v>
      </c>
      <c r="B185" t="str">
        <f t="shared" si="9"/>
        <v>C044</v>
      </c>
      <c r="C185" t="str">
        <f t="shared" si="8"/>
        <v>C</v>
      </c>
      <c r="D185" t="s">
        <v>4</v>
      </c>
      <c r="E185">
        <v>4</v>
      </c>
      <c r="F185" s="2" t="s">
        <v>703</v>
      </c>
      <c r="G185" s="2" t="s">
        <v>704</v>
      </c>
      <c r="H185" s="2" t="s">
        <v>705</v>
      </c>
      <c r="I185" s="2" t="str">
        <f t="shared" si="10"/>
        <v>0.676</v>
      </c>
      <c r="J185" s="2" t="str">
        <f t="shared" si="11"/>
        <v>33.664</v>
      </c>
      <c r="K185" s="2" t="str">
        <f t="shared" si="11"/>
        <v>0.3562</v>
      </c>
      <c r="L185" s="3">
        <v>12.71</v>
      </c>
      <c r="M185">
        <f>((12.82-L185)/12.82)*100</f>
        <v>0.85803432137285041</v>
      </c>
    </row>
    <row r="186" spans="1:13" x14ac:dyDescent="0.35">
      <c r="A186" s="1" t="s">
        <v>10</v>
      </c>
      <c r="B186" t="str">
        <f t="shared" si="9"/>
        <v>C054</v>
      </c>
      <c r="C186" t="str">
        <f t="shared" si="8"/>
        <v>C</v>
      </c>
      <c r="D186" t="s">
        <v>4</v>
      </c>
      <c r="E186">
        <v>4</v>
      </c>
      <c r="F186" s="2" t="s">
        <v>706</v>
      </c>
      <c r="G186" s="2" t="s">
        <v>707</v>
      </c>
      <c r="H186" s="2" t="s">
        <v>708</v>
      </c>
      <c r="I186" s="2" t="str">
        <f t="shared" si="10"/>
        <v>0.449</v>
      </c>
      <c r="J186" s="2" t="str">
        <f t="shared" si="11"/>
        <v>36.620</v>
      </c>
      <c r="K186" s="2" t="str">
        <f t="shared" si="11"/>
        <v>0.2175</v>
      </c>
      <c r="L186" s="3">
        <v>11.13</v>
      </c>
      <c r="M186">
        <f>((11.24-L186)/11.24)*100</f>
        <v>0.97864768683273518</v>
      </c>
    </row>
    <row r="187" spans="1:13" x14ac:dyDescent="0.35">
      <c r="A187" s="1" t="s">
        <v>11</v>
      </c>
      <c r="B187" t="str">
        <f t="shared" si="9"/>
        <v>C064</v>
      </c>
      <c r="C187" t="str">
        <f t="shared" ref="C187:C250" si="12">LEFT(D187,1)</f>
        <v>C</v>
      </c>
      <c r="D187" t="s">
        <v>4</v>
      </c>
      <c r="E187">
        <v>4</v>
      </c>
      <c r="F187" s="2" t="s">
        <v>709</v>
      </c>
      <c r="G187" s="2" t="s">
        <v>710</v>
      </c>
      <c r="H187" s="2" t="s">
        <v>711</v>
      </c>
      <c r="I187" s="2" t="str">
        <f t="shared" si="10"/>
        <v>1.154</v>
      </c>
      <c r="J187" s="2" t="str">
        <f t="shared" si="11"/>
        <v>33.975</v>
      </c>
      <c r="K187" s="2" t="str">
        <f t="shared" si="11"/>
        <v>0.6023</v>
      </c>
      <c r="L187" s="3">
        <v>9.3699999999999992</v>
      </c>
      <c r="M187">
        <f>((9.49-L187)/9.49)*100</f>
        <v>1.2644889357218227</v>
      </c>
    </row>
    <row r="188" spans="1:13" x14ac:dyDescent="0.35">
      <c r="A188" s="1" t="s">
        <v>12</v>
      </c>
      <c r="B188" t="str">
        <f t="shared" si="9"/>
        <v>C074</v>
      </c>
      <c r="C188" t="str">
        <f t="shared" si="12"/>
        <v>C</v>
      </c>
      <c r="D188" t="s">
        <v>4</v>
      </c>
      <c r="E188">
        <v>4</v>
      </c>
      <c r="F188" s="2" t="s">
        <v>712</v>
      </c>
      <c r="G188" s="2" t="s">
        <v>713</v>
      </c>
      <c r="H188" s="2" t="s">
        <v>714</v>
      </c>
      <c r="I188" s="2" t="str">
        <f t="shared" si="10"/>
        <v>1.001</v>
      </c>
      <c r="J188" s="2" t="str">
        <f t="shared" si="11"/>
        <v>34.283</v>
      </c>
      <c r="K188" s="2" t="str">
        <f t="shared" si="11"/>
        <v>0.5166</v>
      </c>
      <c r="L188" s="3">
        <v>12.12</v>
      </c>
      <c r="M188">
        <f>((12.19-L188)/12.19)*100</f>
        <v>0.57424118129614676</v>
      </c>
    </row>
    <row r="189" spans="1:13" x14ac:dyDescent="0.35">
      <c r="A189" s="1" t="s">
        <v>13</v>
      </c>
      <c r="B189" t="str">
        <f t="shared" si="9"/>
        <v>C084</v>
      </c>
      <c r="C189" t="str">
        <f t="shared" si="12"/>
        <v>C</v>
      </c>
      <c r="D189" t="s">
        <v>4</v>
      </c>
      <c r="E189">
        <v>4</v>
      </c>
      <c r="F189" s="2" t="s">
        <v>715</v>
      </c>
      <c r="G189" s="2" t="s">
        <v>716</v>
      </c>
      <c r="H189" s="2" t="s">
        <v>717</v>
      </c>
      <c r="I189" s="2" t="str">
        <f t="shared" si="10"/>
        <v>1.133</v>
      </c>
      <c r="J189" s="2" t="str">
        <f t="shared" si="11"/>
        <v>31.281</v>
      </c>
      <c r="K189" s="2" t="str">
        <f t="shared" si="11"/>
        <v>0.6437</v>
      </c>
      <c r="L189" s="3">
        <v>8.9600000000000009</v>
      </c>
      <c r="M189">
        <f>((9.02-L189)/9.02)*100</f>
        <v>0.66518847006650472</v>
      </c>
    </row>
    <row r="190" spans="1:13" x14ac:dyDescent="0.35">
      <c r="A190" s="1" t="s">
        <v>14</v>
      </c>
      <c r="B190" t="str">
        <f t="shared" si="9"/>
        <v>C094</v>
      </c>
      <c r="C190" t="str">
        <f t="shared" si="12"/>
        <v>C</v>
      </c>
      <c r="D190" t="s">
        <v>4</v>
      </c>
      <c r="E190">
        <v>4</v>
      </c>
      <c r="F190" s="2" t="s">
        <v>718</v>
      </c>
      <c r="G190" s="2" t="s">
        <v>719</v>
      </c>
      <c r="H190" s="2" t="s">
        <v>720</v>
      </c>
      <c r="I190" s="2" t="str">
        <f t="shared" si="10"/>
        <v>0.536</v>
      </c>
      <c r="J190" s="2" t="str">
        <f t="shared" si="11"/>
        <v>35.227</v>
      </c>
      <c r="K190" s="2" t="str">
        <f t="shared" si="11"/>
        <v>0.2702</v>
      </c>
      <c r="L190" s="3">
        <v>8.58</v>
      </c>
      <c r="M190">
        <f>((8.66-L190)/8.66)*100</f>
        <v>0.92378752886836113</v>
      </c>
    </row>
    <row r="191" spans="1:13" x14ac:dyDescent="0.35">
      <c r="A191" s="1" t="s">
        <v>15</v>
      </c>
      <c r="B191" t="str">
        <f t="shared" si="9"/>
        <v>C104</v>
      </c>
      <c r="C191" t="str">
        <f t="shared" si="12"/>
        <v>C</v>
      </c>
      <c r="D191" t="s">
        <v>4</v>
      </c>
      <c r="E191">
        <v>4</v>
      </c>
      <c r="F191" s="2" t="s">
        <v>721</v>
      </c>
      <c r="G191" s="2" t="s">
        <v>722</v>
      </c>
      <c r="H191" s="2" t="s">
        <v>723</v>
      </c>
      <c r="I191" s="2" t="str">
        <f t="shared" si="10"/>
        <v>0.857</v>
      </c>
      <c r="J191" s="2" t="str">
        <f t="shared" si="11"/>
        <v>34.673</v>
      </c>
      <c r="K191" s="2" t="str">
        <f t="shared" si="11"/>
        <v>0.4407</v>
      </c>
      <c r="L191" s="3">
        <v>12.71</v>
      </c>
      <c r="M191">
        <f>((12.87-L191)/12.87)*100</f>
        <v>1.2432012432012305</v>
      </c>
    </row>
    <row r="192" spans="1:13" x14ac:dyDescent="0.35">
      <c r="A192" s="1" t="s">
        <v>16</v>
      </c>
      <c r="B192" t="str">
        <f t="shared" si="9"/>
        <v>C114</v>
      </c>
      <c r="C192" t="str">
        <f t="shared" si="12"/>
        <v>C</v>
      </c>
      <c r="D192" t="s">
        <v>4</v>
      </c>
      <c r="E192">
        <v>4</v>
      </c>
      <c r="F192" s="2" t="s">
        <v>724</v>
      </c>
      <c r="G192" s="2" t="s">
        <v>725</v>
      </c>
      <c r="H192" s="2" t="s">
        <v>726</v>
      </c>
      <c r="I192" s="2" t="str">
        <f t="shared" si="10"/>
        <v>1.085</v>
      </c>
      <c r="J192" s="2" t="str">
        <f t="shared" si="11"/>
        <v>31.513</v>
      </c>
      <c r="K192" s="2" t="str">
        <f t="shared" si="11"/>
        <v>0.6109</v>
      </c>
      <c r="L192" s="3">
        <v>7.88</v>
      </c>
      <c r="M192">
        <f>((8.02-L192)/8.02)*100</f>
        <v>1.745635910224435</v>
      </c>
    </row>
    <row r="193" spans="1:13" x14ac:dyDescent="0.35">
      <c r="A193" s="1" t="s">
        <v>17</v>
      </c>
      <c r="B193" t="str">
        <f t="shared" si="9"/>
        <v>C124</v>
      </c>
      <c r="C193" t="str">
        <f t="shared" si="12"/>
        <v>C</v>
      </c>
      <c r="D193" t="s">
        <v>4</v>
      </c>
      <c r="E193">
        <v>4</v>
      </c>
      <c r="F193" s="2" t="s">
        <v>727</v>
      </c>
      <c r="G193" s="2" t="s">
        <v>728</v>
      </c>
      <c r="H193" s="2" t="s">
        <v>729</v>
      </c>
      <c r="I193" s="2" t="str">
        <f t="shared" si="10"/>
        <v>1.220</v>
      </c>
      <c r="J193" s="2" t="str">
        <f t="shared" si="11"/>
        <v>36.965</v>
      </c>
      <c r="K193" s="2" t="str">
        <f t="shared" si="11"/>
        <v>0.5862</v>
      </c>
      <c r="L193" s="5">
        <v>9</v>
      </c>
      <c r="M193">
        <f>((9.02-L193)/9.02)*100</f>
        <v>0.22172949002216821</v>
      </c>
    </row>
    <row r="194" spans="1:13" x14ac:dyDescent="0.35">
      <c r="A194" s="1" t="s">
        <v>18</v>
      </c>
      <c r="B194" t="str">
        <f t="shared" si="9"/>
        <v>C134</v>
      </c>
      <c r="C194" t="str">
        <f t="shared" si="12"/>
        <v>C</v>
      </c>
      <c r="D194" t="s">
        <v>4</v>
      </c>
      <c r="E194">
        <v>4</v>
      </c>
      <c r="F194" s="2" t="s">
        <v>730</v>
      </c>
      <c r="G194" s="2" t="s">
        <v>731</v>
      </c>
      <c r="H194" s="2" t="s">
        <v>732</v>
      </c>
      <c r="I194" s="2" t="str">
        <f t="shared" si="10"/>
        <v>0.626</v>
      </c>
      <c r="J194" s="2" t="str">
        <f t="shared" si="11"/>
        <v>32.793</v>
      </c>
      <c r="K194" s="2" t="str">
        <f t="shared" si="11"/>
        <v>0.3358</v>
      </c>
      <c r="L194" s="3">
        <v>10.53</v>
      </c>
      <c r="M194">
        <f>((10.68-L194)/10.68)*100</f>
        <v>1.4044943820224753</v>
      </c>
    </row>
    <row r="195" spans="1:13" x14ac:dyDescent="0.35">
      <c r="A195" s="1" t="s">
        <v>19</v>
      </c>
      <c r="B195" t="str">
        <f t="shared" ref="B195:B258" si="13">CONCATENATE(C195,A195,E195)</f>
        <v>C144</v>
      </c>
      <c r="C195" t="str">
        <f t="shared" si="12"/>
        <v>C</v>
      </c>
      <c r="D195" t="s">
        <v>4</v>
      </c>
      <c r="E195">
        <v>4</v>
      </c>
      <c r="F195" s="2" t="s">
        <v>733</v>
      </c>
      <c r="G195" s="2" t="s">
        <v>734</v>
      </c>
      <c r="H195" s="2" t="s">
        <v>735</v>
      </c>
      <c r="I195" s="2" t="str">
        <f t="shared" ref="I195:I258" si="14">LEFT(F195,5)</f>
        <v>0.513</v>
      </c>
      <c r="J195" s="2" t="str">
        <f t="shared" si="11"/>
        <v>35.192</v>
      </c>
      <c r="K195" s="2" t="str">
        <f t="shared" si="11"/>
        <v>0.2587</v>
      </c>
      <c r="L195" s="3">
        <v>9.2100000000000009</v>
      </c>
      <c r="M195">
        <f>((9.31-L195)/9.31)*100</f>
        <v>1.0741138560687395</v>
      </c>
    </row>
    <row r="196" spans="1:13" x14ac:dyDescent="0.35">
      <c r="A196" s="1" t="s">
        <v>20</v>
      </c>
      <c r="B196" t="str">
        <f t="shared" si="13"/>
        <v>C154</v>
      </c>
      <c r="C196" t="str">
        <f t="shared" si="12"/>
        <v>C</v>
      </c>
      <c r="D196" t="s">
        <v>4</v>
      </c>
      <c r="E196">
        <v>4</v>
      </c>
      <c r="F196" s="2" t="s">
        <v>736</v>
      </c>
      <c r="G196" s="2" t="s">
        <v>737</v>
      </c>
      <c r="H196" s="2" t="s">
        <v>738</v>
      </c>
      <c r="I196" s="2" t="str">
        <f t="shared" si="14"/>
        <v>0.868</v>
      </c>
      <c r="J196" s="2" t="str">
        <f t="shared" si="11"/>
        <v>34.767</v>
      </c>
      <c r="K196" s="2" t="str">
        <f t="shared" si="11"/>
        <v>0.4423</v>
      </c>
      <c r="L196" s="3">
        <v>12.81</v>
      </c>
      <c r="M196">
        <f>((12.96-L196)/12.96)*100</f>
        <v>1.1574074074074101</v>
      </c>
    </row>
    <row r="197" spans="1:13" x14ac:dyDescent="0.35">
      <c r="A197" s="1" t="s">
        <v>22</v>
      </c>
      <c r="B197" t="str">
        <f t="shared" si="13"/>
        <v>C164</v>
      </c>
      <c r="C197" t="str">
        <f t="shared" si="12"/>
        <v>C</v>
      </c>
      <c r="D197" t="s">
        <v>4</v>
      </c>
      <c r="E197">
        <v>4</v>
      </c>
      <c r="F197" s="2" t="s">
        <v>739</v>
      </c>
      <c r="G197" s="2" t="s">
        <v>740</v>
      </c>
      <c r="H197" s="2" t="s">
        <v>741</v>
      </c>
      <c r="I197" s="2" t="str">
        <f t="shared" si="14"/>
        <v>0.924</v>
      </c>
      <c r="J197" s="2" t="str">
        <f t="shared" ref="J197:K260" si="15">LEFT(G197,6)</f>
        <v>34.943</v>
      </c>
      <c r="K197" s="2" t="str">
        <f t="shared" si="15"/>
        <v>0.4672</v>
      </c>
      <c r="L197" s="3">
        <v>12.85</v>
      </c>
      <c r="M197">
        <f>((13.01-L197)/13.01)*100</f>
        <v>1.2298232129131448</v>
      </c>
    </row>
    <row r="198" spans="1:13" x14ac:dyDescent="0.35">
      <c r="A198" s="1" t="s">
        <v>23</v>
      </c>
      <c r="B198" t="str">
        <f t="shared" si="13"/>
        <v>C174</v>
      </c>
      <c r="C198" t="str">
        <f t="shared" si="12"/>
        <v>C</v>
      </c>
      <c r="D198" t="s">
        <v>4</v>
      </c>
      <c r="E198">
        <v>4</v>
      </c>
      <c r="F198" s="2" t="s">
        <v>742</v>
      </c>
      <c r="G198" s="2" t="s">
        <v>743</v>
      </c>
      <c r="H198" s="2" t="s">
        <v>744</v>
      </c>
      <c r="I198" s="2" t="str">
        <f t="shared" si="14"/>
        <v>1.048</v>
      </c>
      <c r="J198" s="2" t="str">
        <f t="shared" si="15"/>
        <v>35.865</v>
      </c>
      <c r="K198" s="2" t="str">
        <f t="shared" si="15"/>
        <v>0.5171</v>
      </c>
      <c r="L198" s="3">
        <v>8.18</v>
      </c>
      <c r="M198">
        <f>((8.28-L198)/8.28)*100</f>
        <v>1.2077294685990296</v>
      </c>
    </row>
    <row r="199" spans="1:13" x14ac:dyDescent="0.35">
      <c r="A199" s="1" t="s">
        <v>24</v>
      </c>
      <c r="B199" t="str">
        <f t="shared" si="13"/>
        <v>C184</v>
      </c>
      <c r="C199" t="str">
        <f t="shared" si="12"/>
        <v>C</v>
      </c>
      <c r="D199" t="s">
        <v>4</v>
      </c>
      <c r="E199">
        <v>4</v>
      </c>
      <c r="F199" s="2" t="s">
        <v>745</v>
      </c>
      <c r="G199" s="2" t="s">
        <v>746</v>
      </c>
      <c r="H199" s="2" t="s">
        <v>747</v>
      </c>
      <c r="I199" s="2" t="str">
        <f t="shared" si="14"/>
        <v>0.950</v>
      </c>
      <c r="J199" s="2" t="str">
        <f t="shared" si="15"/>
        <v>33.940</v>
      </c>
      <c r="K199" s="2" t="str">
        <f t="shared" si="15"/>
        <v>0.4955</v>
      </c>
      <c r="L199" s="3">
        <v>8.48</v>
      </c>
      <c r="M199">
        <f>((8.57-L199)/8.57)*100</f>
        <v>1.0501750291715268</v>
      </c>
    </row>
    <row r="200" spans="1:13" x14ac:dyDescent="0.35">
      <c r="A200" s="1" t="s">
        <v>25</v>
      </c>
      <c r="B200" t="str">
        <f t="shared" si="13"/>
        <v>C194</v>
      </c>
      <c r="C200" t="str">
        <f t="shared" si="12"/>
        <v>C</v>
      </c>
      <c r="D200" t="s">
        <v>4</v>
      </c>
      <c r="E200">
        <v>4</v>
      </c>
      <c r="F200" s="2" t="s">
        <v>748</v>
      </c>
      <c r="G200" s="2" t="s">
        <v>749</v>
      </c>
      <c r="H200" s="2" t="s">
        <v>750</v>
      </c>
      <c r="I200" s="2" t="str">
        <f t="shared" si="14"/>
        <v>0.713</v>
      </c>
      <c r="J200" s="2" t="str">
        <f t="shared" si="15"/>
        <v>34.041</v>
      </c>
      <c r="K200" s="2" t="str">
        <f t="shared" si="15"/>
        <v>0.3760</v>
      </c>
      <c r="L200" s="3">
        <v>8.73</v>
      </c>
      <c r="M200">
        <f>((8.79-L200)/8.79)*100</f>
        <v>0.68259385665527561</v>
      </c>
    </row>
    <row r="201" spans="1:13" x14ac:dyDescent="0.35">
      <c r="A201" s="1" t="s">
        <v>26</v>
      </c>
      <c r="B201" t="str">
        <f t="shared" si="13"/>
        <v>C204</v>
      </c>
      <c r="C201" t="str">
        <f t="shared" si="12"/>
        <v>C</v>
      </c>
      <c r="D201" t="s">
        <v>4</v>
      </c>
      <c r="E201">
        <v>4</v>
      </c>
      <c r="F201" s="2" t="s">
        <v>751</v>
      </c>
      <c r="G201" s="2" t="s">
        <v>752</v>
      </c>
      <c r="H201" s="2" t="s">
        <v>753</v>
      </c>
      <c r="I201" s="2" t="str">
        <f t="shared" si="14"/>
        <v>1.122</v>
      </c>
      <c r="J201" s="2" t="str">
        <f t="shared" si="15"/>
        <v>34.948</v>
      </c>
      <c r="K201" s="2" t="str">
        <f t="shared" si="15"/>
        <v>0.5684</v>
      </c>
      <c r="L201" s="3">
        <v>8.4700000000000006</v>
      </c>
      <c r="M201">
        <f>((8.56-L201)/8.56)*100</f>
        <v>1.0514018691588767</v>
      </c>
    </row>
    <row r="202" spans="1:13" x14ac:dyDescent="0.35">
      <c r="A202" s="1" t="s">
        <v>27</v>
      </c>
      <c r="B202" t="str">
        <f t="shared" si="13"/>
        <v>C214</v>
      </c>
      <c r="C202" t="str">
        <f t="shared" si="12"/>
        <v>C</v>
      </c>
      <c r="D202" t="s">
        <v>4</v>
      </c>
      <c r="E202">
        <v>4</v>
      </c>
      <c r="F202" s="2" t="s">
        <v>754</v>
      </c>
      <c r="G202" s="2" t="s">
        <v>755</v>
      </c>
      <c r="H202" s="2" t="s">
        <v>756</v>
      </c>
      <c r="I202" s="2" t="str">
        <f t="shared" si="14"/>
        <v>0.973</v>
      </c>
      <c r="J202" s="2" t="str">
        <f t="shared" si="15"/>
        <v>33.860</v>
      </c>
      <c r="K202" s="2" t="str">
        <f t="shared" si="15"/>
        <v>0.5112</v>
      </c>
      <c r="L202" s="3">
        <v>11.59</v>
      </c>
      <c r="M202">
        <f>((11.72-L202)/11.72)*100</f>
        <v>1.1092150170648529</v>
      </c>
    </row>
    <row r="203" spans="1:13" x14ac:dyDescent="0.35">
      <c r="A203" s="1" t="s">
        <v>28</v>
      </c>
      <c r="B203" t="str">
        <f t="shared" si="13"/>
        <v>C224</v>
      </c>
      <c r="C203" t="str">
        <f t="shared" si="12"/>
        <v>C</v>
      </c>
      <c r="D203" t="s">
        <v>4</v>
      </c>
      <c r="E203">
        <v>4</v>
      </c>
      <c r="F203" s="2" t="s">
        <v>757</v>
      </c>
      <c r="G203" s="2" t="s">
        <v>758</v>
      </c>
      <c r="H203" s="2" t="s">
        <v>759</v>
      </c>
      <c r="I203" s="2" t="str">
        <f t="shared" si="14"/>
        <v>0.729</v>
      </c>
      <c r="J203" s="2" t="str">
        <f t="shared" si="15"/>
        <v>34.728</v>
      </c>
      <c r="K203" s="2" t="str">
        <f t="shared" si="15"/>
        <v>0.3687</v>
      </c>
      <c r="L203" s="3">
        <v>10.02</v>
      </c>
      <c r="M203">
        <f>((10.19-L203)/10.19)*100</f>
        <v>1.6683022571148181</v>
      </c>
    </row>
    <row r="204" spans="1:13" x14ac:dyDescent="0.35">
      <c r="A204" s="1" t="s">
        <v>29</v>
      </c>
      <c r="B204" t="str">
        <f t="shared" si="13"/>
        <v>C234</v>
      </c>
      <c r="C204" t="str">
        <f t="shared" si="12"/>
        <v>C</v>
      </c>
      <c r="D204" t="s">
        <v>4</v>
      </c>
      <c r="E204">
        <v>4</v>
      </c>
      <c r="F204" s="2" t="s">
        <v>760</v>
      </c>
      <c r="G204" s="2" t="s">
        <v>761</v>
      </c>
      <c r="H204" s="2" t="s">
        <v>762</v>
      </c>
      <c r="I204" s="2" t="str">
        <f t="shared" si="14"/>
        <v>0.921</v>
      </c>
      <c r="J204" s="2" t="str">
        <f t="shared" si="15"/>
        <v>35.916</v>
      </c>
      <c r="K204" s="2" t="str">
        <f t="shared" si="15"/>
        <v>0.4542</v>
      </c>
      <c r="L204" s="3">
        <v>6.58</v>
      </c>
      <c r="M204">
        <f>((6.69-L204)/6.69)*100</f>
        <v>1.6442451420029942</v>
      </c>
    </row>
    <row r="205" spans="1:13" x14ac:dyDescent="0.35">
      <c r="A205" s="1" t="s">
        <v>30</v>
      </c>
      <c r="B205" t="str">
        <f t="shared" si="13"/>
        <v>C244</v>
      </c>
      <c r="C205" t="str">
        <f t="shared" si="12"/>
        <v>C</v>
      </c>
      <c r="D205" t="s">
        <v>4</v>
      </c>
      <c r="E205">
        <v>4</v>
      </c>
      <c r="F205" s="2" t="s">
        <v>763</v>
      </c>
      <c r="G205" s="2" t="s">
        <v>764</v>
      </c>
      <c r="H205" s="2" t="s">
        <v>765</v>
      </c>
      <c r="I205" s="2" t="str">
        <f t="shared" si="14"/>
        <v>0.604</v>
      </c>
      <c r="J205" s="2" t="str">
        <f t="shared" si="15"/>
        <v>32.079</v>
      </c>
      <c r="K205" s="2" t="str">
        <f t="shared" si="15"/>
        <v>0.3328</v>
      </c>
      <c r="L205" s="3">
        <v>6.75</v>
      </c>
      <c r="M205">
        <f>((6.98-L205)/6.98)*100</f>
        <v>3.2951289398280861</v>
      </c>
    </row>
    <row r="206" spans="1:13" x14ac:dyDescent="0.35">
      <c r="A206" s="1" t="s">
        <v>31</v>
      </c>
      <c r="B206" t="str">
        <f t="shared" si="13"/>
        <v>C254</v>
      </c>
      <c r="C206" t="str">
        <f t="shared" si="12"/>
        <v>C</v>
      </c>
      <c r="D206" t="s">
        <v>4</v>
      </c>
      <c r="E206">
        <v>4</v>
      </c>
      <c r="F206" s="2" t="s">
        <v>766</v>
      </c>
      <c r="G206" s="2" t="s">
        <v>767</v>
      </c>
      <c r="H206" s="2" t="s">
        <v>768</v>
      </c>
      <c r="I206" s="2" t="str">
        <f t="shared" si="14"/>
        <v>0.685</v>
      </c>
      <c r="J206" s="2" t="str">
        <f t="shared" si="15"/>
        <v>33.035</v>
      </c>
      <c r="K206" s="2" t="str">
        <f t="shared" si="15"/>
        <v>0.3690</v>
      </c>
      <c r="L206" s="3">
        <v>11.64</v>
      </c>
      <c r="M206">
        <f>((11.74-L206)/11.74)*100</f>
        <v>0.85178875638841267</v>
      </c>
    </row>
    <row r="207" spans="1:13" x14ac:dyDescent="0.35">
      <c r="A207" s="1" t="s">
        <v>32</v>
      </c>
      <c r="B207" t="str">
        <f t="shared" si="13"/>
        <v>C264</v>
      </c>
      <c r="C207" t="str">
        <f t="shared" si="12"/>
        <v>C</v>
      </c>
      <c r="D207" t="s">
        <v>4</v>
      </c>
      <c r="E207">
        <v>4</v>
      </c>
      <c r="F207" s="2" t="s">
        <v>769</v>
      </c>
      <c r="G207" s="2" t="s">
        <v>770</v>
      </c>
      <c r="H207" s="2" t="s">
        <v>771</v>
      </c>
      <c r="I207" s="2" t="str">
        <f t="shared" si="14"/>
        <v>0.450</v>
      </c>
      <c r="J207" s="2" t="str">
        <f t="shared" si="15"/>
        <v>30.215</v>
      </c>
      <c r="K207" s="2" t="str">
        <f t="shared" si="15"/>
        <v>0.2642</v>
      </c>
      <c r="L207" s="3">
        <v>6.73</v>
      </c>
      <c r="M207">
        <f>((6.81-L207)/6.81)*100</f>
        <v>1.1747430249632773</v>
      </c>
    </row>
    <row r="208" spans="1:13" x14ac:dyDescent="0.35">
      <c r="A208" s="1" t="s">
        <v>33</v>
      </c>
      <c r="B208" t="str">
        <f t="shared" si="13"/>
        <v>C274</v>
      </c>
      <c r="C208" t="str">
        <f t="shared" si="12"/>
        <v>C</v>
      </c>
      <c r="D208" t="s">
        <v>4</v>
      </c>
      <c r="E208">
        <v>4</v>
      </c>
      <c r="F208" s="2" t="s">
        <v>772</v>
      </c>
      <c r="G208" s="2" t="s">
        <v>773</v>
      </c>
      <c r="H208" s="2" t="s">
        <v>774</v>
      </c>
      <c r="I208" s="2" t="str">
        <f t="shared" si="14"/>
        <v>1.090</v>
      </c>
      <c r="J208" s="2" t="str">
        <f t="shared" si="15"/>
        <v>34.697</v>
      </c>
      <c r="K208" s="2" t="str">
        <f t="shared" si="15"/>
        <v>0.5575</v>
      </c>
      <c r="L208" s="3">
        <v>13.04</v>
      </c>
      <c r="M208">
        <f>((13.23-L208)/13.23)*100</f>
        <v>1.4361300075585886</v>
      </c>
    </row>
    <row r="209" spans="1:13" x14ac:dyDescent="0.35">
      <c r="A209" s="1" t="s">
        <v>34</v>
      </c>
      <c r="B209" t="str">
        <f t="shared" si="13"/>
        <v>C284</v>
      </c>
      <c r="C209" t="str">
        <f t="shared" si="12"/>
        <v>C</v>
      </c>
      <c r="D209" t="s">
        <v>4</v>
      </c>
      <c r="E209">
        <v>4</v>
      </c>
      <c r="F209" s="2" t="s">
        <v>775</v>
      </c>
      <c r="G209" s="2" t="s">
        <v>776</v>
      </c>
      <c r="H209" s="2" t="s">
        <v>777</v>
      </c>
      <c r="I209" s="2" t="str">
        <f t="shared" si="14"/>
        <v>1.182</v>
      </c>
      <c r="J209" s="2" t="str">
        <f t="shared" si="15"/>
        <v>31.978</v>
      </c>
      <c r="K209" s="2" t="str">
        <f t="shared" si="15"/>
        <v>0.6570</v>
      </c>
      <c r="L209" s="3">
        <v>10.57</v>
      </c>
      <c r="M209">
        <f>((10.74-L209)/10.74)*100</f>
        <v>1.5828677839851018</v>
      </c>
    </row>
    <row r="210" spans="1:13" x14ac:dyDescent="0.35">
      <c r="A210" s="1" t="s">
        <v>35</v>
      </c>
      <c r="B210" t="str">
        <f t="shared" si="13"/>
        <v>C294</v>
      </c>
      <c r="C210" t="str">
        <f t="shared" si="12"/>
        <v>C</v>
      </c>
      <c r="D210" t="s">
        <v>4</v>
      </c>
      <c r="E210">
        <v>4</v>
      </c>
      <c r="F210" s="2" t="s">
        <v>778</v>
      </c>
      <c r="G210" s="2" t="s">
        <v>779</v>
      </c>
      <c r="H210" s="2" t="s">
        <v>780</v>
      </c>
      <c r="I210" s="2" t="str">
        <f t="shared" si="14"/>
        <v>0.770</v>
      </c>
      <c r="J210" s="2" t="str">
        <f t="shared" si="15"/>
        <v>29.210</v>
      </c>
      <c r="K210" s="2" t="str">
        <f t="shared" si="15"/>
        <v>0.4677</v>
      </c>
      <c r="L210" s="3">
        <v>11.49</v>
      </c>
      <c r="M210">
        <f>((11.59-L210)/11.59)*100</f>
        <v>0.86281276962898745</v>
      </c>
    </row>
    <row r="211" spans="1:13" x14ac:dyDescent="0.35">
      <c r="A211" s="1" t="s">
        <v>36</v>
      </c>
      <c r="B211" t="str">
        <f t="shared" si="13"/>
        <v>C304</v>
      </c>
      <c r="C211" t="str">
        <f t="shared" si="12"/>
        <v>C</v>
      </c>
      <c r="D211" t="s">
        <v>4</v>
      </c>
      <c r="E211">
        <v>4</v>
      </c>
      <c r="F211" s="2" t="s">
        <v>781</v>
      </c>
      <c r="G211" s="2" t="s">
        <v>782</v>
      </c>
      <c r="H211" s="2" t="s">
        <v>783</v>
      </c>
      <c r="I211" s="2" t="str">
        <f t="shared" si="14"/>
        <v>0.735</v>
      </c>
      <c r="J211" s="2" t="str">
        <f t="shared" si="15"/>
        <v>32.719</v>
      </c>
      <c r="K211" s="2" t="str">
        <f t="shared" si="15"/>
        <v>0.3972</v>
      </c>
      <c r="L211" s="3">
        <v>9.24</v>
      </c>
      <c r="M211">
        <f>((9.38-L211)/9.38)*100</f>
        <v>1.4925373134328417</v>
      </c>
    </row>
    <row r="212" spans="1:13" x14ac:dyDescent="0.35">
      <c r="A212" s="1" t="s">
        <v>7</v>
      </c>
      <c r="B212" t="str">
        <f t="shared" si="13"/>
        <v>R014</v>
      </c>
      <c r="C212" t="str">
        <f t="shared" si="12"/>
        <v>R</v>
      </c>
      <c r="D212" t="s">
        <v>5</v>
      </c>
      <c r="E212">
        <v>4</v>
      </c>
      <c r="F212" s="2" t="s">
        <v>436</v>
      </c>
      <c r="G212" s="2" t="s">
        <v>437</v>
      </c>
      <c r="H212" s="2" t="s">
        <v>438</v>
      </c>
      <c r="I212" s="2" t="str">
        <f t="shared" si="14"/>
        <v>0.869</v>
      </c>
      <c r="J212" s="2" t="str">
        <f t="shared" si="15"/>
        <v>30.947</v>
      </c>
      <c r="K212" s="2" t="str">
        <f t="shared" si="15"/>
        <v>0.4981</v>
      </c>
      <c r="L212" s="3">
        <v>9.8800000000000008</v>
      </c>
      <c r="M212">
        <f>((10.2-L212)/10.2)*100</f>
        <v>3.1372549019607696</v>
      </c>
    </row>
    <row r="213" spans="1:13" x14ac:dyDescent="0.35">
      <c r="A213" s="1" t="s">
        <v>8</v>
      </c>
      <c r="B213" t="str">
        <f t="shared" si="13"/>
        <v>R024</v>
      </c>
      <c r="C213" t="str">
        <f t="shared" si="12"/>
        <v>R</v>
      </c>
      <c r="D213" t="s">
        <v>5</v>
      </c>
      <c r="E213">
        <v>4</v>
      </c>
      <c r="F213" s="2" t="s">
        <v>2918</v>
      </c>
      <c r="G213" s="2" t="s">
        <v>2919</v>
      </c>
      <c r="H213" s="2" t="s">
        <v>2920</v>
      </c>
      <c r="I213" s="2" t="str">
        <f t="shared" si="14"/>
        <v>0.945</v>
      </c>
      <c r="J213" s="2" t="str">
        <f t="shared" si="15"/>
        <v>33.921</v>
      </c>
      <c r="K213" s="2" t="str">
        <f t="shared" si="15"/>
        <v>0.4941</v>
      </c>
      <c r="L213" s="3">
        <v>8.57</v>
      </c>
      <c r="M213">
        <f>((8.9-L213)/8.9)*100</f>
        <v>3.7078651685393269</v>
      </c>
    </row>
    <row r="214" spans="1:13" x14ac:dyDescent="0.35">
      <c r="A214" s="1" t="s">
        <v>21</v>
      </c>
      <c r="B214" t="str">
        <f t="shared" si="13"/>
        <v>R034</v>
      </c>
      <c r="C214" t="str">
        <f t="shared" si="12"/>
        <v>R</v>
      </c>
      <c r="D214" t="s">
        <v>5</v>
      </c>
      <c r="E214">
        <v>4</v>
      </c>
      <c r="F214" s="2" t="s">
        <v>610</v>
      </c>
      <c r="G214" s="2" t="s">
        <v>611</v>
      </c>
      <c r="H214" s="2" t="s">
        <v>612</v>
      </c>
      <c r="I214" s="2" t="str">
        <f t="shared" si="14"/>
        <v>0.680</v>
      </c>
      <c r="J214" s="2" t="str">
        <f t="shared" si="15"/>
        <v>27.487</v>
      </c>
      <c r="K214" s="2" t="str">
        <f t="shared" si="15"/>
        <v>0.4404</v>
      </c>
      <c r="L214" s="3">
        <v>7.48</v>
      </c>
      <c r="M214">
        <f>((7.72-L214)/7.72)*100</f>
        <v>3.1088082901554315</v>
      </c>
    </row>
    <row r="215" spans="1:13" x14ac:dyDescent="0.35">
      <c r="A215" s="1" t="s">
        <v>9</v>
      </c>
      <c r="B215" t="str">
        <f t="shared" si="13"/>
        <v>R044</v>
      </c>
      <c r="C215" t="str">
        <f t="shared" si="12"/>
        <v>R</v>
      </c>
      <c r="D215" t="s">
        <v>5</v>
      </c>
      <c r="E215">
        <v>4</v>
      </c>
      <c r="F215" s="2" t="s">
        <v>613</v>
      </c>
      <c r="G215" s="2" t="s">
        <v>614</v>
      </c>
      <c r="H215" s="2" t="s">
        <v>615</v>
      </c>
      <c r="I215" s="2" t="str">
        <f t="shared" si="14"/>
        <v>0.875</v>
      </c>
      <c r="J215" s="2" t="str">
        <f t="shared" si="15"/>
        <v>34.961</v>
      </c>
      <c r="K215" s="2" t="str">
        <f t="shared" si="15"/>
        <v>0.4458</v>
      </c>
      <c r="L215" s="3">
        <v>6.45</v>
      </c>
      <c r="M215">
        <f>((6.71-L215)/6.71)*100</f>
        <v>3.8748137108792817</v>
      </c>
    </row>
    <row r="216" spans="1:13" x14ac:dyDescent="0.35">
      <c r="A216" s="1" t="s">
        <v>10</v>
      </c>
      <c r="B216" t="str">
        <f t="shared" si="13"/>
        <v>R054</v>
      </c>
      <c r="C216" t="str">
        <f t="shared" si="12"/>
        <v>R</v>
      </c>
      <c r="D216" t="s">
        <v>5</v>
      </c>
      <c r="E216">
        <v>4</v>
      </c>
      <c r="F216" s="2" t="s">
        <v>616</v>
      </c>
      <c r="G216" s="2" t="s">
        <v>617</v>
      </c>
      <c r="H216" s="2" t="s">
        <v>618</v>
      </c>
      <c r="I216" s="2" t="str">
        <f t="shared" si="14"/>
        <v>1.154</v>
      </c>
      <c r="J216" s="2" t="str">
        <f t="shared" si="15"/>
        <v>34.784</v>
      </c>
      <c r="K216" s="2" t="str">
        <f t="shared" si="15"/>
        <v>0.5883</v>
      </c>
      <c r="L216" s="3">
        <v>7.8</v>
      </c>
      <c r="M216">
        <f>((7.58-L216)/7.58)*100</f>
        <v>-2.9023746701846935</v>
      </c>
    </row>
    <row r="217" spans="1:13" x14ac:dyDescent="0.35">
      <c r="A217" s="1" t="s">
        <v>11</v>
      </c>
      <c r="B217" t="str">
        <f t="shared" si="13"/>
        <v>R064</v>
      </c>
      <c r="C217" t="str">
        <f t="shared" si="12"/>
        <v>R</v>
      </c>
      <c r="D217" t="s">
        <v>5</v>
      </c>
      <c r="E217">
        <v>4</v>
      </c>
      <c r="F217" s="2" t="s">
        <v>619</v>
      </c>
      <c r="G217" s="2" t="s">
        <v>620</v>
      </c>
      <c r="H217" s="2" t="s">
        <v>621</v>
      </c>
      <c r="I217" s="2" t="str">
        <f t="shared" si="14"/>
        <v>0.520</v>
      </c>
      <c r="J217" s="2" t="str">
        <f t="shared" si="15"/>
        <v>33.135</v>
      </c>
      <c r="K217" s="2" t="str">
        <f t="shared" si="15"/>
        <v>0.2815</v>
      </c>
      <c r="L217" s="3">
        <v>8.16</v>
      </c>
      <c r="M217">
        <f>((8.47-L217)/8.47)*100</f>
        <v>3.6599763872491198</v>
      </c>
    </row>
    <row r="218" spans="1:13" x14ac:dyDescent="0.35">
      <c r="A218" s="1" t="s">
        <v>12</v>
      </c>
      <c r="B218" t="str">
        <f t="shared" si="13"/>
        <v>R074</v>
      </c>
      <c r="C218" t="str">
        <f t="shared" si="12"/>
        <v>R</v>
      </c>
      <c r="D218" t="s">
        <v>5</v>
      </c>
      <c r="E218">
        <v>4</v>
      </c>
      <c r="F218" s="2" t="s">
        <v>622</v>
      </c>
      <c r="G218" s="2" t="s">
        <v>623</v>
      </c>
      <c r="H218" s="2" t="s">
        <v>624</v>
      </c>
      <c r="I218" s="2" t="str">
        <f t="shared" si="14"/>
        <v>0.670</v>
      </c>
      <c r="J218" s="2" t="str">
        <f t="shared" si="15"/>
        <v>32.055</v>
      </c>
      <c r="K218" s="2" t="str">
        <f t="shared" si="15"/>
        <v>0.3790</v>
      </c>
      <c r="L218" s="3">
        <v>9.49</v>
      </c>
      <c r="M218">
        <f>((9.75-L218)/9.75)*100</f>
        <v>2.6666666666666643</v>
      </c>
    </row>
    <row r="219" spans="1:13" x14ac:dyDescent="0.35">
      <c r="A219" s="1" t="s">
        <v>13</v>
      </c>
      <c r="B219" t="str">
        <f t="shared" si="13"/>
        <v>R084</v>
      </c>
      <c r="C219" t="str">
        <f t="shared" si="12"/>
        <v>R</v>
      </c>
      <c r="D219" t="s">
        <v>5</v>
      </c>
      <c r="E219">
        <v>4</v>
      </c>
      <c r="F219" s="2" t="s">
        <v>625</v>
      </c>
      <c r="G219" s="2" t="s">
        <v>626</v>
      </c>
      <c r="H219" s="2" t="s">
        <v>627</v>
      </c>
      <c r="I219" s="2" t="str">
        <f t="shared" si="14"/>
        <v>0.577</v>
      </c>
      <c r="J219" s="2" t="str">
        <f t="shared" si="15"/>
        <v>32.071</v>
      </c>
      <c r="K219" s="2" t="str">
        <f t="shared" si="15"/>
        <v>0.3194</v>
      </c>
      <c r="L219" s="3">
        <v>10.220000000000001</v>
      </c>
      <c r="M219">
        <f>((10.46-L219)/10.46)*100</f>
        <v>2.2944550669216079</v>
      </c>
    </row>
    <row r="220" spans="1:13" x14ac:dyDescent="0.35">
      <c r="A220" s="1" t="s">
        <v>14</v>
      </c>
      <c r="B220" t="str">
        <f t="shared" si="13"/>
        <v>R094</v>
      </c>
      <c r="C220" t="str">
        <f t="shared" si="12"/>
        <v>R</v>
      </c>
      <c r="D220" t="s">
        <v>5</v>
      </c>
      <c r="E220">
        <v>4</v>
      </c>
      <c r="F220" s="2" t="s">
        <v>628</v>
      </c>
      <c r="G220" s="2" t="s">
        <v>629</v>
      </c>
      <c r="H220" s="2" t="s">
        <v>630</v>
      </c>
      <c r="I220" s="2" t="str">
        <f t="shared" si="14"/>
        <v>0.743</v>
      </c>
      <c r="J220" s="2" t="str">
        <f t="shared" si="15"/>
        <v>24.664</v>
      </c>
      <c r="K220" s="2" t="str">
        <f t="shared" si="15"/>
        <v>0.5341</v>
      </c>
      <c r="L220" s="3">
        <v>9.3000000000000007</v>
      </c>
      <c r="M220">
        <f>((9.52-L220)/9.52)*100</f>
        <v>2.3109243697478874</v>
      </c>
    </row>
    <row r="221" spans="1:13" x14ac:dyDescent="0.35">
      <c r="A221" s="1" t="s">
        <v>15</v>
      </c>
      <c r="B221" t="str">
        <f t="shared" si="13"/>
        <v>R104</v>
      </c>
      <c r="C221" t="str">
        <f t="shared" si="12"/>
        <v>R</v>
      </c>
      <c r="D221" t="s">
        <v>5</v>
      </c>
      <c r="E221">
        <v>4</v>
      </c>
      <c r="F221" s="2" t="s">
        <v>631</v>
      </c>
      <c r="G221" s="2" t="s">
        <v>632</v>
      </c>
      <c r="H221" s="2" t="s">
        <v>633</v>
      </c>
      <c r="I221" s="2" t="str">
        <f t="shared" si="14"/>
        <v>1.075</v>
      </c>
      <c r="J221" s="2" t="str">
        <f t="shared" si="15"/>
        <v>26.339</v>
      </c>
      <c r="K221" s="2" t="str">
        <f t="shared" si="15"/>
        <v>0.7272</v>
      </c>
      <c r="L221" s="3">
        <v>14.28</v>
      </c>
      <c r="M221">
        <f>((14.55-L221)/14.55)*100</f>
        <v>1.8556701030927925</v>
      </c>
    </row>
    <row r="222" spans="1:13" x14ac:dyDescent="0.35">
      <c r="A222" s="1" t="s">
        <v>16</v>
      </c>
      <c r="B222" t="str">
        <f t="shared" si="13"/>
        <v>R114</v>
      </c>
      <c r="C222" t="str">
        <f t="shared" si="12"/>
        <v>R</v>
      </c>
      <c r="D222" t="s">
        <v>5</v>
      </c>
      <c r="E222">
        <v>4</v>
      </c>
      <c r="F222" s="2" t="s">
        <v>634</v>
      </c>
      <c r="G222" s="2" t="s">
        <v>635</v>
      </c>
      <c r="H222" s="2" t="s">
        <v>636</v>
      </c>
      <c r="I222" s="2" t="str">
        <f t="shared" si="14"/>
        <v>0.679</v>
      </c>
      <c r="J222" s="2" t="str">
        <f t="shared" si="15"/>
        <v>31.183</v>
      </c>
      <c r="K222" s="2" t="str">
        <f t="shared" si="15"/>
        <v>0.3840</v>
      </c>
      <c r="L222" s="3">
        <v>8.6999999999999993</v>
      </c>
      <c r="M222">
        <f>((8.99-L222)/8.99)*100</f>
        <v>3.2258064516129137</v>
      </c>
    </row>
    <row r="223" spans="1:13" x14ac:dyDescent="0.35">
      <c r="A223" s="1" t="s">
        <v>17</v>
      </c>
      <c r="B223" t="str">
        <f t="shared" si="13"/>
        <v>R124</v>
      </c>
      <c r="C223" t="str">
        <f t="shared" si="12"/>
        <v>R</v>
      </c>
      <c r="D223" t="s">
        <v>5</v>
      </c>
      <c r="E223">
        <v>4</v>
      </c>
      <c r="F223" s="2" t="s">
        <v>637</v>
      </c>
      <c r="G223" s="2" t="s">
        <v>638</v>
      </c>
      <c r="H223" s="2" t="s">
        <v>639</v>
      </c>
      <c r="I223" s="2" t="str">
        <f t="shared" si="14"/>
        <v>0.717</v>
      </c>
      <c r="J223" s="2" t="str">
        <f t="shared" si="15"/>
        <v>33.642</v>
      </c>
      <c r="K223" s="2" t="str">
        <f t="shared" si="15"/>
        <v>0.3799</v>
      </c>
      <c r="L223" s="3">
        <v>9.23</v>
      </c>
      <c r="M223">
        <f>((9.52-L223)/9.52)*100</f>
        <v>3.0462184873949494</v>
      </c>
    </row>
    <row r="224" spans="1:13" x14ac:dyDescent="0.35">
      <c r="A224" s="1" t="s">
        <v>18</v>
      </c>
      <c r="B224" t="str">
        <f t="shared" si="13"/>
        <v>R134</v>
      </c>
      <c r="C224" t="str">
        <f t="shared" si="12"/>
        <v>R</v>
      </c>
      <c r="D224" t="s">
        <v>5</v>
      </c>
      <c r="E224">
        <v>4</v>
      </c>
      <c r="F224" s="2" t="s">
        <v>640</v>
      </c>
      <c r="G224" s="2" t="s">
        <v>641</v>
      </c>
      <c r="H224" s="2" t="s">
        <v>642</v>
      </c>
      <c r="I224" s="2" t="str">
        <f t="shared" si="14"/>
        <v>0.824</v>
      </c>
      <c r="J224" s="2" t="str">
        <f t="shared" si="15"/>
        <v>32.760</v>
      </c>
      <c r="K224" s="2" t="str">
        <f t="shared" si="15"/>
        <v>0.4544</v>
      </c>
      <c r="L224" s="3">
        <v>10.210000000000001</v>
      </c>
      <c r="M224">
        <f>((10.58-L224)/10.58)*100</f>
        <v>3.4971644612476296</v>
      </c>
    </row>
    <row r="225" spans="1:13" x14ac:dyDescent="0.35">
      <c r="A225" s="1" t="s">
        <v>19</v>
      </c>
      <c r="B225" t="str">
        <f t="shared" si="13"/>
        <v>R144</v>
      </c>
      <c r="C225" t="str">
        <f t="shared" si="12"/>
        <v>R</v>
      </c>
      <c r="D225" t="s">
        <v>5</v>
      </c>
      <c r="E225">
        <v>4</v>
      </c>
      <c r="F225" s="2" t="s">
        <v>643</v>
      </c>
      <c r="G225" s="2" t="s">
        <v>644</v>
      </c>
      <c r="H225" s="2" t="s">
        <v>645</v>
      </c>
      <c r="I225" s="2" t="str">
        <f t="shared" si="14"/>
        <v>0.521</v>
      </c>
      <c r="J225" s="2" t="str">
        <f t="shared" si="15"/>
        <v>31.344</v>
      </c>
      <c r="K225" s="2" t="str">
        <f t="shared" si="15"/>
        <v>0.2965</v>
      </c>
      <c r="L225" s="3">
        <v>10.86</v>
      </c>
      <c r="M225">
        <f>((11.2-L225)/11.2)*100</f>
        <v>3.0357142857142847</v>
      </c>
    </row>
    <row r="226" spans="1:13" x14ac:dyDescent="0.35">
      <c r="A226" s="1" t="s">
        <v>20</v>
      </c>
      <c r="B226" t="str">
        <f t="shared" si="13"/>
        <v>R154</v>
      </c>
      <c r="C226" t="str">
        <f t="shared" si="12"/>
        <v>R</v>
      </c>
      <c r="D226" t="s">
        <v>5</v>
      </c>
      <c r="E226">
        <v>4</v>
      </c>
      <c r="F226" s="2" t="s">
        <v>646</v>
      </c>
      <c r="G226" s="2" t="s">
        <v>647</v>
      </c>
      <c r="H226" s="2" t="s">
        <v>648</v>
      </c>
      <c r="I226" s="2" t="str">
        <f t="shared" si="14"/>
        <v>0.948</v>
      </c>
      <c r="J226" s="2" t="str">
        <f t="shared" si="15"/>
        <v>35.102</v>
      </c>
      <c r="K226" s="2" t="str">
        <f t="shared" si="15"/>
        <v>0.4805</v>
      </c>
      <c r="L226" s="3">
        <v>10.029999999999999</v>
      </c>
      <c r="M226">
        <f>((10.33-L226)/10.33)*100</f>
        <v>2.904162633107461</v>
      </c>
    </row>
    <row r="227" spans="1:13" x14ac:dyDescent="0.35">
      <c r="A227" s="1" t="s">
        <v>22</v>
      </c>
      <c r="B227" t="str">
        <f t="shared" si="13"/>
        <v>R164</v>
      </c>
      <c r="C227" t="str">
        <f t="shared" si="12"/>
        <v>R</v>
      </c>
      <c r="D227" t="s">
        <v>5</v>
      </c>
      <c r="E227">
        <v>4</v>
      </c>
      <c r="F227" s="2" t="s">
        <v>649</v>
      </c>
      <c r="G227" s="2" t="s">
        <v>650</v>
      </c>
      <c r="H227" s="2" t="s">
        <v>651</v>
      </c>
      <c r="I227" s="2" t="str">
        <f t="shared" si="14"/>
        <v>0.582</v>
      </c>
      <c r="J227" s="2" t="str">
        <f t="shared" si="15"/>
        <v>27.328</v>
      </c>
      <c r="K227" s="2" t="str">
        <f t="shared" si="15"/>
        <v>0.3826</v>
      </c>
      <c r="L227" s="3">
        <v>8.0399999999999991</v>
      </c>
      <c r="M227">
        <f>((8.36-L227)/8.36)*100</f>
        <v>3.8277511961722519</v>
      </c>
    </row>
    <row r="228" spans="1:13" x14ac:dyDescent="0.35">
      <c r="A228" s="1" t="s">
        <v>23</v>
      </c>
      <c r="B228" t="str">
        <f t="shared" si="13"/>
        <v>R174</v>
      </c>
      <c r="C228" t="str">
        <f t="shared" si="12"/>
        <v>R</v>
      </c>
      <c r="D228" t="s">
        <v>5</v>
      </c>
      <c r="E228">
        <v>4</v>
      </c>
      <c r="F228" s="2" t="s">
        <v>652</v>
      </c>
      <c r="G228" s="2" t="s">
        <v>653</v>
      </c>
      <c r="H228" s="2" t="s">
        <v>654</v>
      </c>
      <c r="I228" s="2" t="str">
        <f t="shared" si="14"/>
        <v>0.580</v>
      </c>
      <c r="J228" s="2" t="str">
        <f t="shared" si="15"/>
        <v>33.504</v>
      </c>
      <c r="K228" s="2" t="str">
        <f t="shared" si="15"/>
        <v>0.3053</v>
      </c>
      <c r="L228" s="3">
        <v>10.65</v>
      </c>
      <c r="M228">
        <f>((10.97-L228)/10.97)*100</f>
        <v>2.9170464904284437</v>
      </c>
    </row>
    <row r="229" spans="1:13" x14ac:dyDescent="0.35">
      <c r="A229" s="1" t="s">
        <v>24</v>
      </c>
      <c r="B229" t="str">
        <f t="shared" si="13"/>
        <v>R184</v>
      </c>
      <c r="C229" t="str">
        <f t="shared" si="12"/>
        <v>R</v>
      </c>
      <c r="D229" t="s">
        <v>5</v>
      </c>
      <c r="E229">
        <v>4</v>
      </c>
      <c r="F229" s="2" t="s">
        <v>655</v>
      </c>
      <c r="G229" s="2" t="s">
        <v>656</v>
      </c>
      <c r="H229" s="2" t="s">
        <v>657</v>
      </c>
      <c r="I229" s="2" t="str">
        <f t="shared" si="14"/>
        <v>0.982</v>
      </c>
      <c r="J229" s="2" t="str">
        <f t="shared" si="15"/>
        <v>33.592</v>
      </c>
      <c r="K229" s="2" t="str">
        <f t="shared" si="15"/>
        <v>0.5244</v>
      </c>
      <c r="L229" s="3">
        <v>7.81</v>
      </c>
      <c r="M229">
        <f>((8.03-L229)/8.03)*100</f>
        <v>2.7397260273972575</v>
      </c>
    </row>
    <row r="230" spans="1:13" x14ac:dyDescent="0.35">
      <c r="A230" s="1" t="s">
        <v>25</v>
      </c>
      <c r="B230" t="str">
        <f t="shared" si="13"/>
        <v>R194</v>
      </c>
      <c r="C230" t="str">
        <f t="shared" si="12"/>
        <v>R</v>
      </c>
      <c r="D230" t="s">
        <v>5</v>
      </c>
      <c r="E230">
        <v>4</v>
      </c>
      <c r="F230" s="2" t="s">
        <v>658</v>
      </c>
      <c r="G230" s="2" t="s">
        <v>659</v>
      </c>
      <c r="H230" s="2" t="s">
        <v>660</v>
      </c>
      <c r="I230" s="2" t="str">
        <f t="shared" si="14"/>
        <v>0.424</v>
      </c>
      <c r="J230" s="2" t="str">
        <f t="shared" si="15"/>
        <v>33.271</v>
      </c>
      <c r="K230" s="2" t="str">
        <f t="shared" si="15"/>
        <v>0.2264</v>
      </c>
      <c r="L230" s="3">
        <v>8.66</v>
      </c>
      <c r="M230">
        <f>((8.97-L230)/8.97)*100</f>
        <v>3.455964325529548</v>
      </c>
    </row>
    <row r="231" spans="1:13" x14ac:dyDescent="0.35">
      <c r="A231" s="1" t="s">
        <v>26</v>
      </c>
      <c r="B231" t="str">
        <f t="shared" si="13"/>
        <v>R204</v>
      </c>
      <c r="C231" t="str">
        <f t="shared" si="12"/>
        <v>R</v>
      </c>
      <c r="D231" t="s">
        <v>5</v>
      </c>
      <c r="E231">
        <v>4</v>
      </c>
      <c r="F231" s="2" t="s">
        <v>661</v>
      </c>
      <c r="G231" s="2" t="s">
        <v>662</v>
      </c>
      <c r="H231" s="2" t="s">
        <v>663</v>
      </c>
      <c r="I231" s="2" t="str">
        <f t="shared" si="14"/>
        <v>0.761</v>
      </c>
      <c r="J231" s="2" t="str">
        <f t="shared" si="15"/>
        <v>27.786</v>
      </c>
      <c r="K231" s="2" t="str">
        <f t="shared" si="15"/>
        <v>0.4953</v>
      </c>
      <c r="L231" s="3">
        <v>8.85</v>
      </c>
      <c r="M231">
        <f>((9.17-L231)/9.17)*100</f>
        <v>3.4896401308615079</v>
      </c>
    </row>
    <row r="232" spans="1:13" x14ac:dyDescent="0.35">
      <c r="A232" s="1" t="s">
        <v>27</v>
      </c>
      <c r="B232" t="str">
        <f t="shared" si="13"/>
        <v>R214</v>
      </c>
      <c r="C232" t="str">
        <f t="shared" si="12"/>
        <v>R</v>
      </c>
      <c r="D232" t="s">
        <v>5</v>
      </c>
      <c r="E232">
        <v>4</v>
      </c>
      <c r="F232" s="2" t="s">
        <v>664</v>
      </c>
      <c r="G232" s="2" t="s">
        <v>665</v>
      </c>
      <c r="H232" s="2" t="s">
        <v>666</v>
      </c>
      <c r="I232" s="2" t="str">
        <f t="shared" si="14"/>
        <v>0.671</v>
      </c>
      <c r="J232" s="2" t="str">
        <f t="shared" si="15"/>
        <v>36.633</v>
      </c>
      <c r="K232" s="2" t="str">
        <f t="shared" si="15"/>
        <v>0.3241</v>
      </c>
      <c r="L232" s="3">
        <v>10.71</v>
      </c>
      <c r="M232">
        <f>((11.02-L232)/11.02)*100</f>
        <v>2.8130671506351974</v>
      </c>
    </row>
    <row r="233" spans="1:13" x14ac:dyDescent="0.35">
      <c r="A233" s="1" t="s">
        <v>28</v>
      </c>
      <c r="B233" t="str">
        <f t="shared" si="13"/>
        <v>R224</v>
      </c>
      <c r="C233" t="str">
        <f t="shared" si="12"/>
        <v>R</v>
      </c>
      <c r="D233" t="s">
        <v>5</v>
      </c>
      <c r="E233">
        <v>4</v>
      </c>
      <c r="F233" s="2" t="s">
        <v>667</v>
      </c>
      <c r="G233" s="2" t="s">
        <v>668</v>
      </c>
      <c r="H233" s="2" t="s">
        <v>669</v>
      </c>
      <c r="I233" s="2" t="str">
        <f t="shared" si="14"/>
        <v>0.627</v>
      </c>
      <c r="J233" s="2" t="str">
        <f t="shared" si="15"/>
        <v>35.562</v>
      </c>
      <c r="K233" s="2" t="str">
        <f t="shared" si="15"/>
        <v>0.3120</v>
      </c>
      <c r="L233" s="3">
        <v>10.99</v>
      </c>
      <c r="M233">
        <f>((11.2-L233)/11.2)*100</f>
        <v>1.874999999999992</v>
      </c>
    </row>
    <row r="234" spans="1:13" x14ac:dyDescent="0.35">
      <c r="A234" s="1" t="s">
        <v>29</v>
      </c>
      <c r="B234" t="str">
        <f t="shared" si="13"/>
        <v>R234</v>
      </c>
      <c r="C234" t="str">
        <f t="shared" si="12"/>
        <v>R</v>
      </c>
      <c r="D234" t="s">
        <v>5</v>
      </c>
      <c r="E234">
        <v>4</v>
      </c>
      <c r="F234" s="2" t="s">
        <v>670</v>
      </c>
      <c r="G234" s="2" t="s">
        <v>671</v>
      </c>
      <c r="H234" s="2" t="s">
        <v>672</v>
      </c>
      <c r="I234" s="2" t="str">
        <f t="shared" si="14"/>
        <v>0.544</v>
      </c>
      <c r="J234" s="2" t="str">
        <f t="shared" si="15"/>
        <v>31.058</v>
      </c>
      <c r="K234" s="2" t="str">
        <f t="shared" si="15"/>
        <v>0.3099</v>
      </c>
      <c r="L234" s="3">
        <v>10.15</v>
      </c>
      <c r="M234">
        <f>((10.41-L234)/10.41)*100</f>
        <v>2.4975984630163284</v>
      </c>
    </row>
    <row r="235" spans="1:13" x14ac:dyDescent="0.35">
      <c r="A235" s="1" t="s">
        <v>30</v>
      </c>
      <c r="B235" t="str">
        <f t="shared" si="13"/>
        <v>R244</v>
      </c>
      <c r="C235" t="str">
        <f t="shared" si="12"/>
        <v>R</v>
      </c>
      <c r="D235" t="s">
        <v>5</v>
      </c>
      <c r="E235">
        <v>4</v>
      </c>
      <c r="F235" s="2" t="s">
        <v>673</v>
      </c>
      <c r="G235" s="2" t="s">
        <v>674</v>
      </c>
      <c r="H235" s="2" t="s">
        <v>675</v>
      </c>
      <c r="I235" s="2" t="str">
        <f t="shared" si="14"/>
        <v>1.012</v>
      </c>
      <c r="J235" s="2" t="str">
        <f t="shared" si="15"/>
        <v>33.780</v>
      </c>
      <c r="K235" s="2" t="str">
        <f t="shared" si="15"/>
        <v>0.5304</v>
      </c>
      <c r="L235" s="3">
        <v>11.59</v>
      </c>
      <c r="M235">
        <f>((11.96-L235)/11.96)*100</f>
        <v>3.0936454849498407</v>
      </c>
    </row>
    <row r="236" spans="1:13" x14ac:dyDescent="0.35">
      <c r="A236" s="1" t="s">
        <v>31</v>
      </c>
      <c r="B236" t="str">
        <f t="shared" si="13"/>
        <v>R254</v>
      </c>
      <c r="C236" t="str">
        <f t="shared" si="12"/>
        <v>R</v>
      </c>
      <c r="D236" t="s">
        <v>5</v>
      </c>
      <c r="E236">
        <v>4</v>
      </c>
      <c r="F236" s="2" t="s">
        <v>676</v>
      </c>
      <c r="G236" s="2" t="s">
        <v>677</v>
      </c>
      <c r="H236" s="2" t="s">
        <v>678</v>
      </c>
      <c r="I236" s="2" t="str">
        <f t="shared" si="14"/>
        <v>0.705</v>
      </c>
      <c r="J236" s="2" t="str">
        <f t="shared" si="15"/>
        <v>34.470</v>
      </c>
      <c r="K236" s="2" t="str">
        <f t="shared" si="15"/>
        <v>0.3618</v>
      </c>
      <c r="L236" s="3">
        <v>11.46</v>
      </c>
      <c r="M236">
        <f>((11.77-L236)/11.77)*100</f>
        <v>2.633814783347483</v>
      </c>
    </row>
    <row r="237" spans="1:13" x14ac:dyDescent="0.35">
      <c r="A237" s="1" t="s">
        <v>32</v>
      </c>
      <c r="B237" t="str">
        <f t="shared" si="13"/>
        <v>R264</v>
      </c>
      <c r="C237" t="str">
        <f t="shared" si="12"/>
        <v>R</v>
      </c>
      <c r="D237" t="s">
        <v>5</v>
      </c>
      <c r="E237">
        <v>4</v>
      </c>
      <c r="F237" s="2" t="s">
        <v>679</v>
      </c>
      <c r="G237" s="2" t="s">
        <v>680</v>
      </c>
      <c r="H237" s="2" t="s">
        <v>681</v>
      </c>
      <c r="I237" s="2" t="str">
        <f t="shared" si="14"/>
        <v>0.784</v>
      </c>
      <c r="J237" s="2" t="str">
        <f t="shared" si="15"/>
        <v>35.173</v>
      </c>
      <c r="K237" s="2" t="str">
        <f t="shared" si="15"/>
        <v>0.3937</v>
      </c>
      <c r="L237" s="3">
        <v>12.42</v>
      </c>
      <c r="M237">
        <f>((12.72-L237)/12.72)*100</f>
        <v>2.3584905660377413</v>
      </c>
    </row>
    <row r="238" spans="1:13" x14ac:dyDescent="0.35">
      <c r="A238" s="1" t="s">
        <v>33</v>
      </c>
      <c r="B238" t="str">
        <f t="shared" si="13"/>
        <v>R274</v>
      </c>
      <c r="C238" t="str">
        <f t="shared" si="12"/>
        <v>R</v>
      </c>
      <c r="D238" t="s">
        <v>5</v>
      </c>
      <c r="E238">
        <v>4</v>
      </c>
      <c r="F238" s="2" t="s">
        <v>682</v>
      </c>
      <c r="G238" s="2" t="s">
        <v>683</v>
      </c>
      <c r="H238" s="2" t="s">
        <v>684</v>
      </c>
      <c r="I238" s="2" t="str">
        <f t="shared" si="14"/>
        <v>0.761</v>
      </c>
      <c r="J238" s="2" t="str">
        <f t="shared" si="15"/>
        <v>34.676</v>
      </c>
      <c r="K238" s="2" t="str">
        <f t="shared" si="15"/>
        <v>0.3886</v>
      </c>
      <c r="L238" s="3">
        <v>12.7</v>
      </c>
      <c r="M238">
        <f>((13.02-L238)/13.02)*100</f>
        <v>2.4577572964669763</v>
      </c>
    </row>
    <row r="239" spans="1:13" x14ac:dyDescent="0.35">
      <c r="A239" s="1" t="s">
        <v>34</v>
      </c>
      <c r="B239" t="str">
        <f t="shared" si="13"/>
        <v>R284</v>
      </c>
      <c r="C239" t="str">
        <f t="shared" si="12"/>
        <v>R</v>
      </c>
      <c r="D239" t="s">
        <v>5</v>
      </c>
      <c r="E239">
        <v>4</v>
      </c>
      <c r="F239" s="2" t="s">
        <v>685</v>
      </c>
      <c r="G239" s="2" t="s">
        <v>686</v>
      </c>
      <c r="H239" s="2" t="s">
        <v>687</v>
      </c>
      <c r="I239" s="2" t="str">
        <f t="shared" si="14"/>
        <v>0.985</v>
      </c>
      <c r="J239" s="2" t="str">
        <f t="shared" si="15"/>
        <v>33.666</v>
      </c>
      <c r="K239" s="2" t="str">
        <f t="shared" si="15"/>
        <v>0.5219</v>
      </c>
      <c r="L239" s="3">
        <v>9.9600000000000009</v>
      </c>
      <c r="M239">
        <f>((10.13-L239)/10.13)*100</f>
        <v>1.6781836130306014</v>
      </c>
    </row>
    <row r="240" spans="1:13" x14ac:dyDescent="0.35">
      <c r="A240" s="1" t="s">
        <v>35</v>
      </c>
      <c r="B240" t="str">
        <f t="shared" si="13"/>
        <v>R294</v>
      </c>
      <c r="C240" t="str">
        <f t="shared" si="12"/>
        <v>R</v>
      </c>
      <c r="D240" t="s">
        <v>5</v>
      </c>
      <c r="E240">
        <v>4</v>
      </c>
      <c r="F240" s="2" t="s">
        <v>688</v>
      </c>
      <c r="G240" s="2" t="s">
        <v>689</v>
      </c>
      <c r="H240" s="2" t="s">
        <v>690</v>
      </c>
      <c r="I240" s="2" t="str">
        <f t="shared" si="14"/>
        <v>0.480</v>
      </c>
      <c r="J240" s="2" t="str">
        <f t="shared" si="15"/>
        <v>32.003</v>
      </c>
      <c r="K240" s="2" t="str">
        <f t="shared" si="15"/>
        <v>0.2665</v>
      </c>
      <c r="L240" s="3">
        <v>8.15</v>
      </c>
      <c r="M240">
        <f>((8.49-L240)/8.49)*100</f>
        <v>4.0047114252061231</v>
      </c>
    </row>
    <row r="241" spans="1:13" x14ac:dyDescent="0.35">
      <c r="A241" s="1" t="s">
        <v>36</v>
      </c>
      <c r="B241" t="str">
        <f t="shared" si="13"/>
        <v>R304</v>
      </c>
      <c r="C241" t="str">
        <f t="shared" si="12"/>
        <v>R</v>
      </c>
      <c r="D241" t="s">
        <v>5</v>
      </c>
      <c r="E241">
        <v>4</v>
      </c>
      <c r="F241" s="2" t="s">
        <v>691</v>
      </c>
      <c r="G241" s="2" t="s">
        <v>692</v>
      </c>
      <c r="H241" s="2" t="s">
        <v>693</v>
      </c>
      <c r="I241" s="2" t="str">
        <f t="shared" si="14"/>
        <v>0.667</v>
      </c>
      <c r="J241" s="2" t="str">
        <f t="shared" si="15"/>
        <v>34.268</v>
      </c>
      <c r="K241" s="2" t="str">
        <f t="shared" si="15"/>
        <v>0.3455</v>
      </c>
      <c r="L241" s="3">
        <v>7.44</v>
      </c>
      <c r="M241">
        <f>((7.78-L241)/7.78)*100</f>
        <v>4.3701799485861166</v>
      </c>
    </row>
    <row r="242" spans="1:13" x14ac:dyDescent="0.35">
      <c r="A242" s="1" t="s">
        <v>7</v>
      </c>
      <c r="B242" t="str">
        <f t="shared" si="13"/>
        <v>C015</v>
      </c>
      <c r="C242" t="str">
        <f t="shared" si="12"/>
        <v>C</v>
      </c>
      <c r="D242" t="s">
        <v>4</v>
      </c>
      <c r="E242">
        <v>5</v>
      </c>
      <c r="F242" s="2" t="s">
        <v>867</v>
      </c>
      <c r="G242" s="2" t="s">
        <v>868</v>
      </c>
      <c r="H242" s="2" t="s">
        <v>869</v>
      </c>
      <c r="I242" s="2" t="str">
        <f t="shared" si="14"/>
        <v>1.011</v>
      </c>
      <c r="J242" s="2" t="str">
        <f t="shared" si="15"/>
        <v>32.568</v>
      </c>
      <c r="K242" s="2" t="str">
        <f t="shared" si="15"/>
        <v>0.5500</v>
      </c>
      <c r="L242" s="3">
        <v>10.55</v>
      </c>
      <c r="M242">
        <f>((10.71-L242)/10.71)*100</f>
        <v>1.4939309056956129</v>
      </c>
    </row>
    <row r="243" spans="1:13" x14ac:dyDescent="0.35">
      <c r="A243" s="1" t="s">
        <v>8</v>
      </c>
      <c r="B243" t="str">
        <f t="shared" si="13"/>
        <v>C025</v>
      </c>
      <c r="C243" t="str">
        <f t="shared" si="12"/>
        <v>C</v>
      </c>
      <c r="D243" t="s">
        <v>4</v>
      </c>
      <c r="E243">
        <v>5</v>
      </c>
      <c r="F243" s="2" t="s">
        <v>870</v>
      </c>
      <c r="G243" s="2" t="s">
        <v>871</v>
      </c>
      <c r="H243" s="2" t="s">
        <v>872</v>
      </c>
      <c r="I243" s="2" t="str">
        <f t="shared" si="14"/>
        <v>0.966</v>
      </c>
      <c r="J243" s="2" t="str">
        <f t="shared" si="15"/>
        <v>30.838</v>
      </c>
      <c r="K243" s="2" t="str">
        <f t="shared" si="15"/>
        <v>0.5570</v>
      </c>
      <c r="L243" s="3">
        <v>10.98</v>
      </c>
      <c r="M243">
        <f>((11.03-L243)/11.03)*100</f>
        <v>0.45330915684495865</v>
      </c>
    </row>
    <row r="244" spans="1:13" x14ac:dyDescent="0.35">
      <c r="A244" s="1" t="s">
        <v>21</v>
      </c>
      <c r="B244" t="str">
        <f t="shared" si="13"/>
        <v>C035</v>
      </c>
      <c r="C244" t="str">
        <f t="shared" si="12"/>
        <v>C</v>
      </c>
      <c r="D244" t="s">
        <v>4</v>
      </c>
      <c r="E244">
        <v>5</v>
      </c>
      <c r="F244" s="2" t="s">
        <v>876</v>
      </c>
      <c r="G244" s="2" t="s">
        <v>877</v>
      </c>
      <c r="H244" s="2" t="s">
        <v>878</v>
      </c>
      <c r="I244" s="2" t="str">
        <f t="shared" si="14"/>
        <v>0.457</v>
      </c>
      <c r="J244" s="2" t="str">
        <f t="shared" si="15"/>
        <v>36.670</v>
      </c>
      <c r="K244" s="2" t="str">
        <f t="shared" si="15"/>
        <v>0.2210</v>
      </c>
      <c r="L244" s="3">
        <v>8.9600000000000009</v>
      </c>
      <c r="M244">
        <f>((8.99-L244)/8.99)*100</f>
        <v>0.33370411568408631</v>
      </c>
    </row>
    <row r="245" spans="1:13" x14ac:dyDescent="0.35">
      <c r="A245" s="1" t="s">
        <v>9</v>
      </c>
      <c r="B245" t="str">
        <f t="shared" si="13"/>
        <v>C045</v>
      </c>
      <c r="C245" t="str">
        <f t="shared" si="12"/>
        <v>C</v>
      </c>
      <c r="D245" t="s">
        <v>4</v>
      </c>
      <c r="E245">
        <v>5</v>
      </c>
      <c r="F245" s="2" t="s">
        <v>879</v>
      </c>
      <c r="G245" s="2" t="s">
        <v>880</v>
      </c>
      <c r="H245" s="2" t="s">
        <v>881</v>
      </c>
      <c r="I245" s="2" t="str">
        <f t="shared" si="14"/>
        <v>0.877</v>
      </c>
      <c r="J245" s="2" t="str">
        <f t="shared" si="15"/>
        <v>33.256</v>
      </c>
      <c r="K245" s="2" t="str">
        <f t="shared" si="15"/>
        <v>0.4676</v>
      </c>
      <c r="L245" s="3">
        <v>12.7</v>
      </c>
      <c r="M245">
        <f>((12.82-L245)/12.82)*100</f>
        <v>0.93603744149766754</v>
      </c>
    </row>
    <row r="246" spans="1:13" x14ac:dyDescent="0.35">
      <c r="A246" s="1" t="s">
        <v>10</v>
      </c>
      <c r="B246" t="str">
        <f t="shared" si="13"/>
        <v>C055</v>
      </c>
      <c r="C246" t="str">
        <f t="shared" si="12"/>
        <v>C</v>
      </c>
      <c r="D246" t="s">
        <v>4</v>
      </c>
      <c r="E246">
        <v>5</v>
      </c>
      <c r="F246" s="2" t="s">
        <v>882</v>
      </c>
      <c r="G246" s="2" t="s">
        <v>883</v>
      </c>
      <c r="H246" s="2" t="s">
        <v>884</v>
      </c>
      <c r="I246" s="2" t="str">
        <f t="shared" si="14"/>
        <v>0.451</v>
      </c>
      <c r="J246" s="2" t="str">
        <f t="shared" si="15"/>
        <v>32.495</v>
      </c>
      <c r="K246" s="2" t="str">
        <f t="shared" si="15"/>
        <v>0.2463</v>
      </c>
      <c r="L246" s="3">
        <v>11.12</v>
      </c>
      <c r="M246">
        <f>((11.24-L246)/11.24)*100</f>
        <v>1.0676156583629981</v>
      </c>
    </row>
    <row r="247" spans="1:13" x14ac:dyDescent="0.35">
      <c r="A247" s="1" t="s">
        <v>11</v>
      </c>
      <c r="B247" t="str">
        <f t="shared" si="13"/>
        <v>C065</v>
      </c>
      <c r="C247" t="str">
        <f t="shared" si="12"/>
        <v>C</v>
      </c>
      <c r="D247" t="s">
        <v>4</v>
      </c>
      <c r="E247">
        <v>5</v>
      </c>
      <c r="F247" s="2" t="s">
        <v>885</v>
      </c>
      <c r="G247" s="2" t="s">
        <v>886</v>
      </c>
      <c r="H247" s="2" t="s">
        <v>887</v>
      </c>
      <c r="I247" s="2" t="str">
        <f t="shared" si="14"/>
        <v>0.522</v>
      </c>
      <c r="J247" s="2" t="str">
        <f t="shared" si="15"/>
        <v>29.216</v>
      </c>
      <c r="K247" s="2" t="str">
        <f t="shared" si="15"/>
        <v>0.3166</v>
      </c>
      <c r="L247" s="3">
        <v>9.33</v>
      </c>
      <c r="M247">
        <f>((9.49-L247)/9.49)*100</f>
        <v>1.6859852476290849</v>
      </c>
    </row>
    <row r="248" spans="1:13" x14ac:dyDescent="0.35">
      <c r="A248" s="1" t="s">
        <v>12</v>
      </c>
      <c r="B248" t="str">
        <f t="shared" si="13"/>
        <v>C075</v>
      </c>
      <c r="C248" t="str">
        <f t="shared" si="12"/>
        <v>C</v>
      </c>
      <c r="D248" t="s">
        <v>4</v>
      </c>
      <c r="E248">
        <v>5</v>
      </c>
      <c r="F248" s="2" t="s">
        <v>888</v>
      </c>
      <c r="G248" s="2" t="s">
        <v>889</v>
      </c>
      <c r="H248" s="2" t="s">
        <v>890</v>
      </c>
      <c r="I248" s="2" t="str">
        <f t="shared" si="14"/>
        <v>0.972</v>
      </c>
      <c r="J248" s="2" t="str">
        <f t="shared" si="15"/>
        <v>34.631</v>
      </c>
      <c r="K248" s="2" t="str">
        <f t="shared" si="15"/>
        <v>0.5014</v>
      </c>
      <c r="L248" s="3">
        <v>12.12</v>
      </c>
      <c r="M248">
        <f>((12.19-L248)/12.19)*100</f>
        <v>0.57424118129614676</v>
      </c>
    </row>
    <row r="249" spans="1:13" x14ac:dyDescent="0.35">
      <c r="A249" s="1" t="s">
        <v>13</v>
      </c>
      <c r="B249" t="str">
        <f t="shared" si="13"/>
        <v>C085</v>
      </c>
      <c r="C249" t="str">
        <f t="shared" si="12"/>
        <v>C</v>
      </c>
      <c r="D249" t="s">
        <v>4</v>
      </c>
      <c r="E249">
        <v>5</v>
      </c>
      <c r="F249" s="2" t="s">
        <v>891</v>
      </c>
      <c r="G249" s="2" t="s">
        <v>892</v>
      </c>
      <c r="H249" s="2" t="s">
        <v>893</v>
      </c>
      <c r="I249" s="2" t="str">
        <f t="shared" si="14"/>
        <v>1.059</v>
      </c>
      <c r="J249" s="2" t="str">
        <f t="shared" si="15"/>
        <v>33.391</v>
      </c>
      <c r="K249" s="2" t="str">
        <f t="shared" si="15"/>
        <v>0.5632</v>
      </c>
      <c r="L249" s="3">
        <v>8.9600000000000009</v>
      </c>
      <c r="M249">
        <f>((9.02-L249)/9.02)*100</f>
        <v>0.66518847006650472</v>
      </c>
    </row>
    <row r="250" spans="1:13" x14ac:dyDescent="0.35">
      <c r="A250" s="1" t="s">
        <v>14</v>
      </c>
      <c r="B250" t="str">
        <f t="shared" si="13"/>
        <v>C095</v>
      </c>
      <c r="C250" t="str">
        <f t="shared" si="12"/>
        <v>C</v>
      </c>
      <c r="D250" t="s">
        <v>4</v>
      </c>
      <c r="E250">
        <v>5</v>
      </c>
      <c r="F250" s="2" t="s">
        <v>894</v>
      </c>
      <c r="G250" s="2" t="s">
        <v>895</v>
      </c>
      <c r="H250" s="2" t="s">
        <v>896</v>
      </c>
      <c r="I250" s="2" t="str">
        <f t="shared" si="14"/>
        <v>0.438</v>
      </c>
      <c r="J250" s="2" t="str">
        <f t="shared" si="15"/>
        <v>34.654</v>
      </c>
      <c r="K250" s="2" t="str">
        <f t="shared" si="15"/>
        <v>0.2243</v>
      </c>
      <c r="L250" s="3">
        <v>8.58</v>
      </c>
      <c r="M250">
        <f>((8.66-L250)/8.66)*100</f>
        <v>0.92378752886836113</v>
      </c>
    </row>
    <row r="251" spans="1:13" x14ac:dyDescent="0.35">
      <c r="A251" s="1" t="s">
        <v>15</v>
      </c>
      <c r="B251" t="str">
        <f t="shared" si="13"/>
        <v>C105</v>
      </c>
      <c r="C251" t="str">
        <f t="shared" ref="C251:C314" si="16">LEFT(D251,1)</f>
        <v>C</v>
      </c>
      <c r="D251" t="s">
        <v>4</v>
      </c>
      <c r="E251">
        <v>5</v>
      </c>
      <c r="F251" s="2" t="s">
        <v>897</v>
      </c>
      <c r="G251" s="2" t="s">
        <v>898</v>
      </c>
      <c r="H251" s="2" t="s">
        <v>899</v>
      </c>
      <c r="I251" s="2" t="str">
        <f t="shared" si="14"/>
        <v>1.142</v>
      </c>
      <c r="J251" s="2" t="str">
        <f t="shared" si="15"/>
        <v>35.328</v>
      </c>
      <c r="K251" s="2" t="str">
        <f t="shared" si="15"/>
        <v>0.5720</v>
      </c>
      <c r="L251" s="3">
        <v>12.69</v>
      </c>
      <c r="M251">
        <f>((12.87-L251)/12.87)*100</f>
        <v>1.3986013986013965</v>
      </c>
    </row>
    <row r="252" spans="1:13" x14ac:dyDescent="0.35">
      <c r="A252" s="1" t="s">
        <v>16</v>
      </c>
      <c r="B252" t="str">
        <f t="shared" si="13"/>
        <v>C115</v>
      </c>
      <c r="C252" t="str">
        <f t="shared" si="16"/>
        <v>C</v>
      </c>
      <c r="D252" t="s">
        <v>4</v>
      </c>
      <c r="E252">
        <v>5</v>
      </c>
      <c r="F252" s="2" t="s">
        <v>900</v>
      </c>
      <c r="G252" s="2" t="s">
        <v>901</v>
      </c>
      <c r="H252" s="2" t="s">
        <v>902</v>
      </c>
      <c r="I252" s="2" t="str">
        <f t="shared" si="14"/>
        <v>0.545</v>
      </c>
      <c r="J252" s="2" t="str">
        <f t="shared" si="15"/>
        <v>34.187</v>
      </c>
      <c r="K252" s="2" t="str">
        <f t="shared" si="15"/>
        <v>0.2848</v>
      </c>
      <c r="L252" s="3">
        <v>7.99</v>
      </c>
      <c r="M252">
        <f>((8.02-L252)/8.02)*100</f>
        <v>0.37406483790522899</v>
      </c>
    </row>
    <row r="253" spans="1:13" x14ac:dyDescent="0.35">
      <c r="A253" s="1" t="s">
        <v>17</v>
      </c>
      <c r="B253" t="str">
        <f t="shared" si="13"/>
        <v>C125</v>
      </c>
      <c r="C253" t="str">
        <f t="shared" si="16"/>
        <v>C</v>
      </c>
      <c r="D253" t="s">
        <v>4</v>
      </c>
      <c r="E253">
        <v>5</v>
      </c>
      <c r="F253" s="2" t="s">
        <v>903</v>
      </c>
      <c r="G253" s="2" t="s">
        <v>904</v>
      </c>
      <c r="H253" s="2" t="s">
        <v>905</v>
      </c>
      <c r="I253" s="2" t="str">
        <f t="shared" si="14"/>
        <v>1.089</v>
      </c>
      <c r="J253" s="2" t="str">
        <f t="shared" si="15"/>
        <v>34.656</v>
      </c>
      <c r="K253" s="2" t="str">
        <f t="shared" si="15"/>
        <v>0.5588</v>
      </c>
      <c r="L253" s="3">
        <v>8.98</v>
      </c>
      <c r="M253">
        <f>((9.02-L253)/9.02)*100</f>
        <v>0.44345898004433643</v>
      </c>
    </row>
    <row r="254" spans="1:13" x14ac:dyDescent="0.35">
      <c r="A254" s="1" t="s">
        <v>18</v>
      </c>
      <c r="B254" t="str">
        <f t="shared" si="13"/>
        <v>C135</v>
      </c>
      <c r="C254" t="str">
        <f t="shared" si="16"/>
        <v>C</v>
      </c>
      <c r="D254" t="s">
        <v>4</v>
      </c>
      <c r="E254">
        <v>5</v>
      </c>
      <c r="F254" s="2" t="s">
        <v>906</v>
      </c>
      <c r="G254" s="2" t="s">
        <v>907</v>
      </c>
      <c r="H254" s="2" t="s">
        <v>908</v>
      </c>
      <c r="I254" s="2" t="str">
        <f t="shared" si="14"/>
        <v>0.435</v>
      </c>
      <c r="J254" s="2" t="str">
        <f t="shared" si="15"/>
        <v>34.454</v>
      </c>
      <c r="K254" s="2" t="str">
        <f t="shared" si="15"/>
        <v>0.2245</v>
      </c>
      <c r="L254" s="3">
        <v>10.5</v>
      </c>
      <c r="M254">
        <f>((10.68-L254)/10.68)*100</f>
        <v>1.6853932584269637</v>
      </c>
    </row>
    <row r="255" spans="1:13" x14ac:dyDescent="0.35">
      <c r="A255" s="1" t="s">
        <v>19</v>
      </c>
      <c r="B255" t="str">
        <f t="shared" si="13"/>
        <v>C145</v>
      </c>
      <c r="C255" t="str">
        <f t="shared" si="16"/>
        <v>C</v>
      </c>
      <c r="D255" t="s">
        <v>4</v>
      </c>
      <c r="E255">
        <v>5</v>
      </c>
      <c r="F255" s="2" t="s">
        <v>909</v>
      </c>
      <c r="G255" s="2" t="s">
        <v>910</v>
      </c>
      <c r="H255" s="2" t="s">
        <v>911</v>
      </c>
      <c r="I255" s="2" t="str">
        <f t="shared" si="14"/>
        <v>0.516</v>
      </c>
      <c r="J255" s="2" t="str">
        <f t="shared" si="15"/>
        <v>32.787</v>
      </c>
      <c r="K255" s="2" t="str">
        <f t="shared" si="15"/>
        <v>0.2807</v>
      </c>
      <c r="L255" s="3">
        <v>9.1999999999999993</v>
      </c>
      <c r="M255">
        <f>((9.31-L255)/9.31)*100</f>
        <v>1.1815252416756306</v>
      </c>
    </row>
    <row r="256" spans="1:13" x14ac:dyDescent="0.35">
      <c r="A256" s="1" t="s">
        <v>20</v>
      </c>
      <c r="B256" t="str">
        <f t="shared" si="13"/>
        <v>C155</v>
      </c>
      <c r="C256" t="str">
        <f t="shared" si="16"/>
        <v>C</v>
      </c>
      <c r="D256" t="s">
        <v>4</v>
      </c>
      <c r="E256">
        <v>5</v>
      </c>
      <c r="F256" s="2" t="s">
        <v>912</v>
      </c>
      <c r="G256" s="2" t="s">
        <v>913</v>
      </c>
      <c r="H256" s="2" t="s">
        <v>914</v>
      </c>
      <c r="I256" s="2" t="str">
        <f t="shared" si="14"/>
        <v>0.930</v>
      </c>
      <c r="J256" s="2" t="str">
        <f t="shared" si="15"/>
        <v>33.661</v>
      </c>
      <c r="K256" s="2" t="str">
        <f t="shared" si="15"/>
        <v>0.4901</v>
      </c>
      <c r="L256" s="3">
        <v>12.8</v>
      </c>
      <c r="M256">
        <f>((12.96-L256)/12.96)*100</f>
        <v>1.2345679012345689</v>
      </c>
    </row>
    <row r="257" spans="1:13" x14ac:dyDescent="0.35">
      <c r="A257" s="1" t="s">
        <v>22</v>
      </c>
      <c r="B257" t="str">
        <f t="shared" si="13"/>
        <v>C165</v>
      </c>
      <c r="C257" t="str">
        <f t="shared" si="16"/>
        <v>C</v>
      </c>
      <c r="D257" t="s">
        <v>4</v>
      </c>
      <c r="E257">
        <v>5</v>
      </c>
      <c r="F257" s="2" t="s">
        <v>915</v>
      </c>
      <c r="G257" s="2" t="s">
        <v>916</v>
      </c>
      <c r="H257" s="2" t="s">
        <v>917</v>
      </c>
      <c r="I257" s="2" t="str">
        <f t="shared" si="14"/>
        <v>0.976</v>
      </c>
      <c r="J257" s="2" t="str">
        <f t="shared" si="15"/>
        <v>34.787</v>
      </c>
      <c r="K257" s="2" t="str">
        <f t="shared" si="15"/>
        <v>0.4965</v>
      </c>
      <c r="L257" s="3">
        <v>12.84</v>
      </c>
      <c r="M257">
        <f>((13.01-L257)/13.01)*100</f>
        <v>1.3066871637202149</v>
      </c>
    </row>
    <row r="258" spans="1:13" x14ac:dyDescent="0.35">
      <c r="A258" s="1" t="s">
        <v>23</v>
      </c>
      <c r="B258" t="str">
        <f t="shared" si="13"/>
        <v>C175</v>
      </c>
      <c r="C258" t="str">
        <f t="shared" si="16"/>
        <v>C</v>
      </c>
      <c r="D258" t="s">
        <v>4</v>
      </c>
      <c r="E258">
        <v>5</v>
      </c>
      <c r="F258" s="2" t="s">
        <v>918</v>
      </c>
      <c r="G258" s="2" t="s">
        <v>919</v>
      </c>
      <c r="H258" s="2" t="s">
        <v>920</v>
      </c>
      <c r="I258" s="2" t="str">
        <f t="shared" si="14"/>
        <v>1.011</v>
      </c>
      <c r="J258" s="2" t="str">
        <f t="shared" si="15"/>
        <v>36.770</v>
      </c>
      <c r="K258" s="2" t="str">
        <f t="shared" si="15"/>
        <v>0.4873</v>
      </c>
      <c r="L258" s="3">
        <v>8.17</v>
      </c>
      <c r="M258">
        <f>((8.28-L258)/8.28)*100</f>
        <v>1.3285024154589304</v>
      </c>
    </row>
    <row r="259" spans="1:13" x14ac:dyDescent="0.35">
      <c r="A259" s="1" t="s">
        <v>24</v>
      </c>
      <c r="B259" t="str">
        <f t="shared" ref="B259:B322" si="17">CONCATENATE(C259,A259,E259)</f>
        <v>C185</v>
      </c>
      <c r="C259" t="str">
        <f t="shared" si="16"/>
        <v>C</v>
      </c>
      <c r="D259" t="s">
        <v>4</v>
      </c>
      <c r="E259">
        <v>5</v>
      </c>
      <c r="F259" s="2" t="s">
        <v>921</v>
      </c>
      <c r="G259" s="2" t="s">
        <v>922</v>
      </c>
      <c r="H259" s="2" t="s">
        <v>923</v>
      </c>
      <c r="I259" s="2" t="str">
        <f t="shared" ref="I259:I322" si="18">LEFT(F259,5)</f>
        <v>0.932</v>
      </c>
      <c r="J259" s="2" t="str">
        <f t="shared" si="15"/>
        <v>29.424</v>
      </c>
      <c r="K259" s="2" t="str">
        <f t="shared" si="15"/>
        <v>0.5611</v>
      </c>
      <c r="L259" s="3">
        <v>8.4499999999999993</v>
      </c>
      <c r="M259">
        <f>((8.57-L259)/8.57)*100</f>
        <v>1.4002333722287164</v>
      </c>
    </row>
    <row r="260" spans="1:13" x14ac:dyDescent="0.35">
      <c r="A260" s="1" t="s">
        <v>25</v>
      </c>
      <c r="B260" t="str">
        <f t="shared" si="17"/>
        <v>C195</v>
      </c>
      <c r="C260" t="str">
        <f t="shared" si="16"/>
        <v>C</v>
      </c>
      <c r="D260" t="s">
        <v>4</v>
      </c>
      <c r="E260">
        <v>5</v>
      </c>
      <c r="F260" s="2" t="s">
        <v>924</v>
      </c>
      <c r="G260" s="2" t="s">
        <v>925</v>
      </c>
      <c r="H260" s="2" t="s">
        <v>926</v>
      </c>
      <c r="I260" s="2" t="str">
        <f t="shared" si="18"/>
        <v>0.445</v>
      </c>
      <c r="J260" s="2" t="str">
        <f t="shared" si="15"/>
        <v>33.779</v>
      </c>
      <c r="K260" s="2" t="str">
        <f t="shared" si="15"/>
        <v>0.2342</v>
      </c>
      <c r="L260" s="3">
        <v>8.7100000000000009</v>
      </c>
      <c r="M260">
        <f>((8.79-L260)/8.79)*100</f>
        <v>0.91012514220703422</v>
      </c>
    </row>
    <row r="261" spans="1:13" x14ac:dyDescent="0.35">
      <c r="A261" s="1" t="s">
        <v>26</v>
      </c>
      <c r="B261" t="str">
        <f t="shared" si="17"/>
        <v>C205</v>
      </c>
      <c r="C261" t="str">
        <f t="shared" si="16"/>
        <v>C</v>
      </c>
      <c r="D261" t="s">
        <v>4</v>
      </c>
      <c r="E261">
        <v>5</v>
      </c>
      <c r="F261" s="2" t="s">
        <v>927</v>
      </c>
      <c r="G261" s="2" t="s">
        <v>928</v>
      </c>
      <c r="H261" s="2" t="s">
        <v>929</v>
      </c>
      <c r="I261" s="2" t="str">
        <f t="shared" si="18"/>
        <v>1.106</v>
      </c>
      <c r="J261" s="2" t="str">
        <f t="shared" ref="J261:K324" si="19">LEFT(G261,6)</f>
        <v>38.456</v>
      </c>
      <c r="K261" s="2" t="str">
        <f t="shared" si="19"/>
        <v>0.5105</v>
      </c>
      <c r="L261" s="3">
        <v>8.4499999999999993</v>
      </c>
      <c r="M261">
        <f>((8.56-L261)/8.56)*100</f>
        <v>1.2850467289719767</v>
      </c>
    </row>
    <row r="262" spans="1:13" x14ac:dyDescent="0.35">
      <c r="A262" s="1" t="s">
        <v>27</v>
      </c>
      <c r="B262" t="str">
        <f t="shared" si="17"/>
        <v>C215</v>
      </c>
      <c r="C262" t="str">
        <f t="shared" si="16"/>
        <v>C</v>
      </c>
      <c r="D262" t="s">
        <v>4</v>
      </c>
      <c r="E262">
        <v>5</v>
      </c>
      <c r="F262" s="2" t="s">
        <v>930</v>
      </c>
      <c r="G262" s="2" t="s">
        <v>931</v>
      </c>
      <c r="H262" s="2" t="s">
        <v>932</v>
      </c>
      <c r="I262" s="2" t="str">
        <f t="shared" si="18"/>
        <v>0.910</v>
      </c>
      <c r="J262" s="2" t="str">
        <f t="shared" si="19"/>
        <v>33.562</v>
      </c>
      <c r="K262" s="2" t="str">
        <f t="shared" si="19"/>
        <v>0.4821</v>
      </c>
      <c r="L262" s="3">
        <v>11.56</v>
      </c>
      <c r="M262">
        <f>((11.72-L262)/11.72)*100</f>
        <v>1.3651877133105812</v>
      </c>
    </row>
    <row r="263" spans="1:13" x14ac:dyDescent="0.35">
      <c r="A263" s="1" t="s">
        <v>28</v>
      </c>
      <c r="B263" t="str">
        <f t="shared" si="17"/>
        <v>C225</v>
      </c>
      <c r="C263" t="str">
        <f t="shared" si="16"/>
        <v>C</v>
      </c>
      <c r="D263" t="s">
        <v>4</v>
      </c>
      <c r="E263">
        <v>5</v>
      </c>
      <c r="F263" s="2" t="s">
        <v>932</v>
      </c>
      <c r="G263" s="2" t="s">
        <v>933</v>
      </c>
      <c r="H263" s="2" t="s">
        <v>934</v>
      </c>
      <c r="I263" s="2" t="str">
        <f t="shared" si="18"/>
        <v>0.482</v>
      </c>
      <c r="J263" s="2" t="str">
        <f t="shared" si="19"/>
        <v>34.767</v>
      </c>
      <c r="K263" s="2" t="str">
        <f t="shared" si="19"/>
        <v>0.3077</v>
      </c>
      <c r="L263" s="3">
        <v>10</v>
      </c>
      <c r="M263">
        <f>((10.19-L263)/10.19)*100</f>
        <v>1.8645731108930277</v>
      </c>
    </row>
    <row r="264" spans="1:13" x14ac:dyDescent="0.35">
      <c r="A264" s="1" t="s">
        <v>29</v>
      </c>
      <c r="B264" t="str">
        <f t="shared" si="17"/>
        <v>C235</v>
      </c>
      <c r="C264" t="str">
        <f t="shared" si="16"/>
        <v>C</v>
      </c>
      <c r="D264" t="s">
        <v>4</v>
      </c>
      <c r="E264">
        <v>5</v>
      </c>
      <c r="F264" s="2" t="s">
        <v>935</v>
      </c>
      <c r="G264" s="2" t="s">
        <v>936</v>
      </c>
      <c r="H264" s="2" t="s">
        <v>937</v>
      </c>
      <c r="I264" s="2" t="str">
        <f t="shared" si="18"/>
        <v>1.217</v>
      </c>
      <c r="J264" s="2" t="str">
        <f t="shared" si="19"/>
        <v>34.735</v>
      </c>
      <c r="K264" s="2" t="str">
        <f t="shared" si="19"/>
        <v>0.6198</v>
      </c>
      <c r="L264" s="3">
        <v>6.55</v>
      </c>
      <c r="M264">
        <f>((6.69-L264)/6.69)*100</f>
        <v>2.0926756352765405</v>
      </c>
    </row>
    <row r="265" spans="1:13" x14ac:dyDescent="0.35">
      <c r="A265" s="1" t="s">
        <v>30</v>
      </c>
      <c r="B265" t="str">
        <f t="shared" si="17"/>
        <v>C245</v>
      </c>
      <c r="C265" t="str">
        <f t="shared" si="16"/>
        <v>C</v>
      </c>
      <c r="D265" t="s">
        <v>4</v>
      </c>
      <c r="E265">
        <v>5</v>
      </c>
      <c r="F265" s="2" t="s">
        <v>938</v>
      </c>
      <c r="G265" s="2" t="s">
        <v>939</v>
      </c>
      <c r="H265" s="2" t="s">
        <v>940</v>
      </c>
      <c r="I265" s="2" t="str">
        <f t="shared" si="18"/>
        <v>0.476</v>
      </c>
      <c r="J265" s="2" t="str">
        <f t="shared" si="19"/>
        <v>33.047</v>
      </c>
      <c r="K265" s="2" t="str">
        <f t="shared" si="19"/>
        <v>0.2570</v>
      </c>
      <c r="L265" s="3">
        <v>6.71</v>
      </c>
      <c r="M265">
        <f>((6.98-L265)/6.98)*100</f>
        <v>3.8681948424068828</v>
      </c>
    </row>
    <row r="266" spans="1:13" x14ac:dyDescent="0.35">
      <c r="A266" s="1" t="s">
        <v>31</v>
      </c>
      <c r="B266" t="str">
        <f t="shared" si="17"/>
        <v>C255</v>
      </c>
      <c r="C266" t="str">
        <f t="shared" si="16"/>
        <v>C</v>
      </c>
      <c r="D266" t="s">
        <v>4</v>
      </c>
      <c r="E266">
        <v>5</v>
      </c>
      <c r="F266" s="2" t="s">
        <v>941</v>
      </c>
      <c r="G266" s="2" t="s">
        <v>942</v>
      </c>
      <c r="H266" s="2" t="s">
        <v>943</v>
      </c>
      <c r="I266" s="2" t="str">
        <f t="shared" si="18"/>
        <v>0.725</v>
      </c>
      <c r="J266" s="2" t="str">
        <f t="shared" si="19"/>
        <v>36.153</v>
      </c>
      <c r="K266" s="2" t="str">
        <f t="shared" si="19"/>
        <v>0.3557</v>
      </c>
      <c r="L266" s="3">
        <v>11.61</v>
      </c>
      <c r="M266">
        <f>((11.74-L266)/11.74)*100</f>
        <v>1.107325383304947</v>
      </c>
    </row>
    <row r="267" spans="1:13" x14ac:dyDescent="0.35">
      <c r="A267" s="1" t="s">
        <v>32</v>
      </c>
      <c r="B267" t="str">
        <f t="shared" si="17"/>
        <v>C265</v>
      </c>
      <c r="C267" t="str">
        <f t="shared" si="16"/>
        <v>C</v>
      </c>
      <c r="D267" t="s">
        <v>4</v>
      </c>
      <c r="E267">
        <v>5</v>
      </c>
      <c r="F267" s="2" t="s">
        <v>944</v>
      </c>
      <c r="G267" s="2" t="s">
        <v>945</v>
      </c>
      <c r="H267" s="2" t="s">
        <v>946</v>
      </c>
      <c r="I267" s="2" t="str">
        <f t="shared" si="18"/>
        <v>0.619</v>
      </c>
      <c r="J267" s="2" t="str">
        <f t="shared" si="19"/>
        <v>31.062</v>
      </c>
      <c r="K267" s="2" t="str">
        <f t="shared" si="19"/>
        <v>0.3553</v>
      </c>
      <c r="L267" s="3">
        <v>6.7</v>
      </c>
      <c r="M267">
        <f>((6.81-L267)/6.81)*100</f>
        <v>1.6152716593245144</v>
      </c>
    </row>
    <row r="268" spans="1:13" x14ac:dyDescent="0.35">
      <c r="A268" s="1" t="s">
        <v>33</v>
      </c>
      <c r="B268" t="str">
        <f t="shared" si="17"/>
        <v>C275</v>
      </c>
      <c r="C268" t="str">
        <f t="shared" si="16"/>
        <v>C</v>
      </c>
      <c r="D268" t="s">
        <v>4</v>
      </c>
      <c r="E268">
        <v>5</v>
      </c>
      <c r="F268" s="2" t="s">
        <v>947</v>
      </c>
      <c r="G268" s="2" t="s">
        <v>948</v>
      </c>
      <c r="H268" s="2" t="s">
        <v>949</v>
      </c>
      <c r="I268" s="2" t="str">
        <f t="shared" si="18"/>
        <v>1.054</v>
      </c>
      <c r="J268" s="2" t="str">
        <f t="shared" si="19"/>
        <v>33.955</v>
      </c>
      <c r="K268" s="2" t="str">
        <f t="shared" si="19"/>
        <v>0.5510</v>
      </c>
      <c r="L268" s="3">
        <v>13.02</v>
      </c>
      <c r="M268">
        <f>((13.23-L268)/13.23)*100</f>
        <v>1.5873015873015939</v>
      </c>
    </row>
    <row r="269" spans="1:13" x14ac:dyDescent="0.35">
      <c r="A269" s="1" t="s">
        <v>34</v>
      </c>
      <c r="B269" t="str">
        <f t="shared" si="17"/>
        <v>C285</v>
      </c>
      <c r="C269" t="str">
        <f t="shared" si="16"/>
        <v>C</v>
      </c>
      <c r="D269" t="s">
        <v>4</v>
      </c>
      <c r="E269">
        <v>5</v>
      </c>
      <c r="F269" s="2" t="s">
        <v>950</v>
      </c>
      <c r="G269" s="2" t="s">
        <v>951</v>
      </c>
      <c r="H269" s="2" t="s">
        <v>952</v>
      </c>
      <c r="I269" s="2" t="str">
        <f t="shared" si="18"/>
        <v>0.986</v>
      </c>
      <c r="J269" s="2" t="str">
        <f t="shared" si="19"/>
        <v>36.474</v>
      </c>
      <c r="K269" s="2" t="str">
        <f t="shared" si="19"/>
        <v>0.4808</v>
      </c>
      <c r="L269" s="3">
        <v>10.54</v>
      </c>
      <c r="M269">
        <f>((10.74-L269)/10.74)*100</f>
        <v>1.8621973929236597</v>
      </c>
    </row>
    <row r="270" spans="1:13" x14ac:dyDescent="0.35">
      <c r="A270" s="1" t="s">
        <v>35</v>
      </c>
      <c r="B270" t="str">
        <f t="shared" si="17"/>
        <v>C295</v>
      </c>
      <c r="C270" t="str">
        <f t="shared" si="16"/>
        <v>C</v>
      </c>
      <c r="D270" t="s">
        <v>4</v>
      </c>
      <c r="E270">
        <v>5</v>
      </c>
      <c r="F270" s="2" t="s">
        <v>953</v>
      </c>
      <c r="G270" s="2" t="s">
        <v>954</v>
      </c>
      <c r="H270" s="2" t="s">
        <v>955</v>
      </c>
      <c r="I270" s="2" t="str">
        <f t="shared" si="18"/>
        <v>0.915</v>
      </c>
      <c r="J270" s="2" t="str">
        <f t="shared" si="19"/>
        <v>32.694</v>
      </c>
      <c r="K270" s="2" t="str">
        <f t="shared" si="19"/>
        <v>0.4956</v>
      </c>
      <c r="L270" s="3">
        <v>11.48</v>
      </c>
      <c r="M270">
        <f>((11.59-L270)/11.59)*100</f>
        <v>0.94909404659188468</v>
      </c>
    </row>
    <row r="271" spans="1:13" x14ac:dyDescent="0.35">
      <c r="A271" s="1" t="s">
        <v>36</v>
      </c>
      <c r="B271" t="str">
        <f t="shared" si="17"/>
        <v>C305</v>
      </c>
      <c r="C271" t="str">
        <f t="shared" si="16"/>
        <v>C</v>
      </c>
      <c r="D271" t="s">
        <v>4</v>
      </c>
      <c r="E271">
        <v>5</v>
      </c>
      <c r="F271" s="2" t="s">
        <v>956</v>
      </c>
      <c r="G271" s="2" t="s">
        <v>957</v>
      </c>
      <c r="H271" s="2" t="s">
        <v>958</v>
      </c>
      <c r="I271" s="2" t="str">
        <f t="shared" si="18"/>
        <v>0.727</v>
      </c>
      <c r="J271" s="2" t="str">
        <f t="shared" si="19"/>
        <v>33.820</v>
      </c>
      <c r="K271" s="2" t="str">
        <f t="shared" si="19"/>
        <v>0.3803</v>
      </c>
      <c r="L271" s="3">
        <v>9.2100000000000009</v>
      </c>
      <c r="M271">
        <f>((9.38-L271)/9.38)*100</f>
        <v>1.8123667377398713</v>
      </c>
    </row>
    <row r="272" spans="1:13" x14ac:dyDescent="0.35">
      <c r="A272" s="1" t="s">
        <v>7</v>
      </c>
      <c r="B272" t="str">
        <f t="shared" si="17"/>
        <v>R015</v>
      </c>
      <c r="C272" t="str">
        <f t="shared" si="16"/>
        <v>R</v>
      </c>
      <c r="D272" t="s">
        <v>5</v>
      </c>
      <c r="E272">
        <v>5</v>
      </c>
      <c r="F272" s="2" t="s">
        <v>440</v>
      </c>
      <c r="G272" s="2" t="s">
        <v>439</v>
      </c>
      <c r="H272" s="2" t="s">
        <v>441</v>
      </c>
      <c r="I272" s="2" t="str">
        <f t="shared" si="18"/>
        <v>0.859</v>
      </c>
      <c r="J272" s="2" t="str">
        <f t="shared" si="19"/>
        <v>27.879</v>
      </c>
      <c r="K272" s="2" t="str">
        <f t="shared" si="19"/>
        <v>0.5483</v>
      </c>
      <c r="L272" s="3">
        <v>9.77</v>
      </c>
      <c r="M272">
        <f>((10.2-L272)/10.2)*100</f>
        <v>4.2156862745098014</v>
      </c>
    </row>
    <row r="273" spans="1:13" x14ac:dyDescent="0.35">
      <c r="A273" s="1" t="s">
        <v>8</v>
      </c>
      <c r="B273" t="str">
        <f t="shared" si="17"/>
        <v>R025</v>
      </c>
      <c r="C273" t="str">
        <f t="shared" si="16"/>
        <v>R</v>
      </c>
      <c r="D273" t="s">
        <v>5</v>
      </c>
      <c r="E273">
        <v>5</v>
      </c>
      <c r="F273" s="2" t="s">
        <v>784</v>
      </c>
      <c r="G273" s="2" t="s">
        <v>785</v>
      </c>
      <c r="H273" s="2" t="s">
        <v>786</v>
      </c>
      <c r="I273" s="2" t="str">
        <f t="shared" si="18"/>
        <v>0.889</v>
      </c>
      <c r="J273" s="2" t="str">
        <f t="shared" si="19"/>
        <v>33.338</v>
      </c>
      <c r="K273" s="2" t="str">
        <f t="shared" si="19"/>
        <v>0.4736</v>
      </c>
      <c r="L273" s="3">
        <v>8.49</v>
      </c>
      <c r="M273">
        <f>((8.9-L273)/8.9)*100</f>
        <v>4.6067415730337089</v>
      </c>
    </row>
    <row r="274" spans="1:13" x14ac:dyDescent="0.35">
      <c r="A274" s="1" t="s">
        <v>21</v>
      </c>
      <c r="B274" t="str">
        <f t="shared" si="17"/>
        <v>R035</v>
      </c>
      <c r="C274" t="str">
        <f t="shared" si="16"/>
        <v>R</v>
      </c>
      <c r="D274" t="s">
        <v>5</v>
      </c>
      <c r="E274">
        <v>5</v>
      </c>
      <c r="F274" s="2" t="s">
        <v>787</v>
      </c>
      <c r="G274" s="2" t="s">
        <v>788</v>
      </c>
      <c r="H274" s="2" t="s">
        <v>789</v>
      </c>
      <c r="I274" s="2" t="str">
        <f t="shared" si="18"/>
        <v>0.863</v>
      </c>
      <c r="J274" s="2" t="str">
        <f t="shared" si="19"/>
        <v>31.932</v>
      </c>
      <c r="K274" s="2" t="str">
        <f t="shared" si="19"/>
        <v>0.4795</v>
      </c>
      <c r="L274" s="3">
        <v>7.41</v>
      </c>
      <c r="M274">
        <f>((7.72-L274)/7.72)*100</f>
        <v>4.0155440414507719</v>
      </c>
    </row>
    <row r="275" spans="1:13" x14ac:dyDescent="0.35">
      <c r="A275" s="1" t="s">
        <v>9</v>
      </c>
      <c r="B275" t="str">
        <f t="shared" si="17"/>
        <v>R045</v>
      </c>
      <c r="C275" t="str">
        <f t="shared" si="16"/>
        <v>R</v>
      </c>
      <c r="D275" t="s">
        <v>5</v>
      </c>
      <c r="E275">
        <v>5</v>
      </c>
      <c r="F275" s="2" t="s">
        <v>790</v>
      </c>
      <c r="G275" s="2" t="s">
        <v>791</v>
      </c>
      <c r="H275" s="2" t="s">
        <v>792</v>
      </c>
      <c r="I275" s="2" t="str">
        <f t="shared" si="18"/>
        <v>0.844</v>
      </c>
      <c r="J275" s="2" t="str">
        <f t="shared" si="19"/>
        <v>34.398</v>
      </c>
      <c r="K275" s="2" t="str">
        <f t="shared" si="19"/>
        <v>0.4343</v>
      </c>
      <c r="L275" s="3">
        <v>6.37</v>
      </c>
      <c r="M275">
        <f>((6.71-L275)/6.71)*100</f>
        <v>5.0670640834575238</v>
      </c>
    </row>
    <row r="276" spans="1:13" x14ac:dyDescent="0.35">
      <c r="A276" s="1" t="s">
        <v>10</v>
      </c>
      <c r="B276" t="str">
        <f t="shared" si="17"/>
        <v>R055</v>
      </c>
      <c r="C276" t="str">
        <f t="shared" si="16"/>
        <v>R</v>
      </c>
      <c r="D276" t="s">
        <v>5</v>
      </c>
      <c r="E276">
        <v>5</v>
      </c>
      <c r="F276" s="2" t="s">
        <v>793</v>
      </c>
      <c r="G276" s="2" t="s">
        <v>794</v>
      </c>
      <c r="H276" s="2" t="s">
        <v>795</v>
      </c>
      <c r="I276" s="2" t="str">
        <f t="shared" si="18"/>
        <v>1.077</v>
      </c>
      <c r="J276" s="2" t="str">
        <f t="shared" si="19"/>
        <v>32.282</v>
      </c>
      <c r="K276" s="2" t="str">
        <f t="shared" si="19"/>
        <v>0.5906</v>
      </c>
      <c r="L276" s="3">
        <v>7.2</v>
      </c>
      <c r="M276">
        <f>((7.58-L276)/7.58)*100</f>
        <v>5.0131926121372015</v>
      </c>
    </row>
    <row r="277" spans="1:13" x14ac:dyDescent="0.35">
      <c r="A277" s="1" t="s">
        <v>11</v>
      </c>
      <c r="B277" t="str">
        <f t="shared" si="17"/>
        <v>R065</v>
      </c>
      <c r="C277" t="str">
        <f t="shared" si="16"/>
        <v>R</v>
      </c>
      <c r="D277" t="s">
        <v>5</v>
      </c>
      <c r="E277">
        <v>5</v>
      </c>
      <c r="F277" s="2" t="s">
        <v>796</v>
      </c>
      <c r="G277" s="2" t="s">
        <v>797</v>
      </c>
      <c r="H277" s="2" t="s">
        <v>798</v>
      </c>
      <c r="I277" s="2" t="str">
        <f t="shared" si="18"/>
        <v>0.472</v>
      </c>
      <c r="J277" s="2" t="str">
        <f t="shared" si="19"/>
        <v>33.937</v>
      </c>
      <c r="K277" s="2" t="str">
        <f t="shared" si="19"/>
        <v>0.2464</v>
      </c>
      <c r="L277" s="3">
        <v>8.0399999999999991</v>
      </c>
      <c r="M277">
        <f>((8.47-L277)/8.47)*100</f>
        <v>5.0767414403778206</v>
      </c>
    </row>
    <row r="278" spans="1:13" x14ac:dyDescent="0.35">
      <c r="A278" s="1" t="s">
        <v>12</v>
      </c>
      <c r="B278" t="str">
        <f t="shared" si="17"/>
        <v>R075</v>
      </c>
      <c r="C278" t="str">
        <f t="shared" si="16"/>
        <v>R</v>
      </c>
      <c r="D278" t="s">
        <v>5</v>
      </c>
      <c r="E278">
        <v>5</v>
      </c>
      <c r="F278" s="2" t="s">
        <v>799</v>
      </c>
      <c r="G278" s="2" t="s">
        <v>800</v>
      </c>
      <c r="H278" s="2" t="s">
        <v>801</v>
      </c>
      <c r="I278" s="2" t="str">
        <f t="shared" si="18"/>
        <v>0.705</v>
      </c>
      <c r="J278" s="2" t="str">
        <f t="shared" si="19"/>
        <v>33.372</v>
      </c>
      <c r="K278" s="2" t="str">
        <f t="shared" si="19"/>
        <v>0.3729</v>
      </c>
      <c r="L278" s="3">
        <v>9.39</v>
      </c>
      <c r="M278">
        <f>((9.75-L278)/9.75)*100</f>
        <v>3.6923076923076863</v>
      </c>
    </row>
    <row r="279" spans="1:13" x14ac:dyDescent="0.35">
      <c r="A279" s="1" t="s">
        <v>13</v>
      </c>
      <c r="B279" t="str">
        <f t="shared" si="17"/>
        <v>R085</v>
      </c>
      <c r="C279" t="str">
        <f t="shared" si="16"/>
        <v>R</v>
      </c>
      <c r="D279" t="s">
        <v>5</v>
      </c>
      <c r="E279">
        <v>5</v>
      </c>
      <c r="F279" s="2" t="s">
        <v>802</v>
      </c>
      <c r="G279" s="2" t="s">
        <v>803</v>
      </c>
      <c r="H279" s="2" t="s">
        <v>804</v>
      </c>
      <c r="I279" s="2" t="str">
        <f t="shared" si="18"/>
        <v>0.527</v>
      </c>
      <c r="J279" s="2" t="str">
        <f t="shared" si="19"/>
        <v>35.628</v>
      </c>
      <c r="K279" s="2" t="str">
        <f t="shared" si="19"/>
        <v>0.2622</v>
      </c>
      <c r="L279" s="3">
        <v>10.14</v>
      </c>
      <c r="M279">
        <f>((10.46-L279)/10.46)*100</f>
        <v>3.0592734225621436</v>
      </c>
    </row>
    <row r="280" spans="1:13" x14ac:dyDescent="0.35">
      <c r="A280" s="1" t="s">
        <v>14</v>
      </c>
      <c r="B280" t="str">
        <f t="shared" si="17"/>
        <v>R095</v>
      </c>
      <c r="C280" t="str">
        <f t="shared" si="16"/>
        <v>R</v>
      </c>
      <c r="D280" t="s">
        <v>5</v>
      </c>
      <c r="E280">
        <v>5</v>
      </c>
      <c r="F280" s="2" t="s">
        <v>805</v>
      </c>
      <c r="G280" s="2" t="s">
        <v>806</v>
      </c>
      <c r="H280" s="2" t="s">
        <v>807</v>
      </c>
      <c r="I280" s="2" t="str">
        <f t="shared" si="18"/>
        <v>0.978</v>
      </c>
      <c r="J280" s="2" t="str">
        <f t="shared" si="19"/>
        <v>33.196</v>
      </c>
      <c r="K280" s="2" t="str">
        <f t="shared" si="19"/>
        <v>0.5228</v>
      </c>
      <c r="L280" s="3">
        <v>9.23</v>
      </c>
      <c r="M280">
        <f>((9.52-L280)/9.52)*100</f>
        <v>3.0462184873949494</v>
      </c>
    </row>
    <row r="281" spans="1:13" x14ac:dyDescent="0.35">
      <c r="A281" s="1" t="s">
        <v>15</v>
      </c>
      <c r="B281" t="str">
        <f t="shared" si="17"/>
        <v>R105</v>
      </c>
      <c r="C281" t="str">
        <f t="shared" si="16"/>
        <v>R</v>
      </c>
      <c r="D281" t="s">
        <v>5</v>
      </c>
      <c r="E281">
        <v>5</v>
      </c>
      <c r="F281" s="2" t="s">
        <v>807</v>
      </c>
      <c r="G281" s="2" t="s">
        <v>808</v>
      </c>
      <c r="H281" s="2" t="s">
        <v>809</v>
      </c>
      <c r="I281" s="2" t="str">
        <f t="shared" si="18"/>
        <v>0.522</v>
      </c>
      <c r="J281" s="2" t="str">
        <f t="shared" si="19"/>
        <v>30.084</v>
      </c>
      <c r="K281" s="2" t="str">
        <f t="shared" si="19"/>
        <v>0.3304</v>
      </c>
      <c r="L281" s="3">
        <v>14.17</v>
      </c>
      <c r="M281">
        <f>((14.55-L281)/14.55)*100</f>
        <v>2.6116838487972562</v>
      </c>
    </row>
    <row r="282" spans="1:13" x14ac:dyDescent="0.35">
      <c r="A282" s="1" t="s">
        <v>16</v>
      </c>
      <c r="B282" t="str">
        <f t="shared" si="17"/>
        <v>R115</v>
      </c>
      <c r="C282" t="str">
        <f t="shared" si="16"/>
        <v>R</v>
      </c>
      <c r="D282" t="s">
        <v>5</v>
      </c>
      <c r="E282">
        <v>5</v>
      </c>
      <c r="F282" s="2" t="s">
        <v>810</v>
      </c>
      <c r="G282" s="2" t="s">
        <v>811</v>
      </c>
      <c r="H282" s="2" t="s">
        <v>812</v>
      </c>
      <c r="I282" s="2" t="str">
        <f t="shared" si="18"/>
        <v>1.109</v>
      </c>
      <c r="J282" s="2" t="str">
        <f t="shared" si="19"/>
        <v>33.742</v>
      </c>
      <c r="K282" s="2" t="str">
        <f t="shared" si="19"/>
        <v>0.5847</v>
      </c>
      <c r="L282" s="3">
        <v>8.61</v>
      </c>
      <c r="M282">
        <f>((8.99-L282)/8.99)*100</f>
        <v>4.2269187986651922</v>
      </c>
    </row>
    <row r="283" spans="1:13" x14ac:dyDescent="0.35">
      <c r="A283" s="1" t="s">
        <v>17</v>
      </c>
      <c r="B283" t="str">
        <f t="shared" si="17"/>
        <v>R125</v>
      </c>
      <c r="C283" t="str">
        <f t="shared" si="16"/>
        <v>R</v>
      </c>
      <c r="D283" t="s">
        <v>5</v>
      </c>
      <c r="E283">
        <v>5</v>
      </c>
      <c r="F283" s="2" t="s">
        <v>813</v>
      </c>
      <c r="G283" s="2" t="s">
        <v>814</v>
      </c>
      <c r="H283" s="2" t="s">
        <v>815</v>
      </c>
      <c r="I283" s="2" t="str">
        <f t="shared" si="18"/>
        <v>0.960</v>
      </c>
      <c r="J283" s="2" t="str">
        <f t="shared" si="19"/>
        <v>33.870</v>
      </c>
      <c r="K283" s="2" t="str">
        <f t="shared" si="19"/>
        <v>0.5030</v>
      </c>
      <c r="L283" s="3">
        <v>9.15</v>
      </c>
      <c r="M283">
        <f>((9.52-L283)/9.52)*100</f>
        <v>3.886554621848731</v>
      </c>
    </row>
    <row r="284" spans="1:13" x14ac:dyDescent="0.35">
      <c r="A284" s="1" t="s">
        <v>18</v>
      </c>
      <c r="B284" t="str">
        <f t="shared" si="17"/>
        <v>R135</v>
      </c>
      <c r="C284" t="str">
        <f t="shared" si="16"/>
        <v>R</v>
      </c>
      <c r="D284" t="s">
        <v>5</v>
      </c>
      <c r="E284">
        <v>5</v>
      </c>
      <c r="F284" s="2" t="s">
        <v>816</v>
      </c>
      <c r="G284" s="2" t="s">
        <v>817</v>
      </c>
      <c r="H284" s="2" t="s">
        <v>818</v>
      </c>
      <c r="I284" s="2" t="str">
        <f t="shared" si="18"/>
        <v>0.684</v>
      </c>
      <c r="J284" s="2" t="str">
        <f t="shared" si="19"/>
        <v>34.910</v>
      </c>
      <c r="K284" s="2" t="str">
        <f t="shared" si="19"/>
        <v>0.3519</v>
      </c>
      <c r="L284" s="3">
        <v>10.029999999999999</v>
      </c>
      <c r="M284">
        <f>((10.58-L284)/10.58)*100</f>
        <v>5.198487712665413</v>
      </c>
    </row>
    <row r="285" spans="1:13" x14ac:dyDescent="0.35">
      <c r="A285" s="1" t="s">
        <v>19</v>
      </c>
      <c r="B285" t="str">
        <f t="shared" si="17"/>
        <v>R145</v>
      </c>
      <c r="C285" t="str">
        <f t="shared" si="16"/>
        <v>R</v>
      </c>
      <c r="D285" t="s">
        <v>5</v>
      </c>
      <c r="E285">
        <v>5</v>
      </c>
      <c r="F285" s="2" t="s">
        <v>819</v>
      </c>
      <c r="G285" s="2" t="s">
        <v>820</v>
      </c>
      <c r="H285" s="2" t="s">
        <v>821</v>
      </c>
      <c r="I285" s="2" t="str">
        <f t="shared" si="18"/>
        <v>0.570</v>
      </c>
      <c r="J285" s="2" t="str">
        <f t="shared" si="19"/>
        <v>34.211</v>
      </c>
      <c r="K285" s="2" t="str">
        <f t="shared" si="19"/>
        <v>0.2971</v>
      </c>
      <c r="L285" s="3">
        <v>10.76</v>
      </c>
      <c r="M285">
        <f>((11.2-L285)/11.2)*100</f>
        <v>3.9285714285714244</v>
      </c>
    </row>
    <row r="286" spans="1:13" x14ac:dyDescent="0.35">
      <c r="A286" s="1" t="s">
        <v>20</v>
      </c>
      <c r="B286" t="str">
        <f t="shared" si="17"/>
        <v>R155</v>
      </c>
      <c r="C286" t="str">
        <f t="shared" si="16"/>
        <v>R</v>
      </c>
      <c r="D286" t="s">
        <v>5</v>
      </c>
      <c r="E286">
        <v>5</v>
      </c>
      <c r="F286" s="2" t="s">
        <v>822</v>
      </c>
      <c r="G286" s="2" t="s">
        <v>823</v>
      </c>
      <c r="H286" s="2" t="s">
        <v>824</v>
      </c>
      <c r="I286" s="2" t="str">
        <f t="shared" si="18"/>
        <v>0.911</v>
      </c>
      <c r="J286" s="2" t="str">
        <f t="shared" si="19"/>
        <v>33.905</v>
      </c>
      <c r="K286" s="2" t="str">
        <f t="shared" si="19"/>
        <v>0.4757</v>
      </c>
      <c r="L286" s="3">
        <v>9.99</v>
      </c>
      <c r="M286">
        <f>((10.33-L286)/10.33)*100</f>
        <v>3.2913843175217798</v>
      </c>
    </row>
    <row r="287" spans="1:13" x14ac:dyDescent="0.35">
      <c r="A287" s="1" t="s">
        <v>22</v>
      </c>
      <c r="B287" t="str">
        <f t="shared" si="17"/>
        <v>R165</v>
      </c>
      <c r="C287" t="str">
        <f t="shared" si="16"/>
        <v>R</v>
      </c>
      <c r="D287" t="s">
        <v>5</v>
      </c>
      <c r="E287">
        <v>5</v>
      </c>
      <c r="F287" s="2" t="s">
        <v>825</v>
      </c>
      <c r="G287" s="2" t="s">
        <v>826</v>
      </c>
      <c r="H287" s="2" t="s">
        <v>827</v>
      </c>
      <c r="I287" s="2" t="str">
        <f t="shared" si="18"/>
        <v>0.681</v>
      </c>
      <c r="J287" s="2" t="str">
        <f t="shared" si="19"/>
        <v>33.137</v>
      </c>
      <c r="K287" s="2" t="str">
        <f t="shared" si="19"/>
        <v>0.3661</v>
      </c>
      <c r="L287" s="3">
        <v>8</v>
      </c>
      <c r="M287">
        <f>((8.36-L287)/8.36)*100</f>
        <v>4.3062200956937735</v>
      </c>
    </row>
    <row r="288" spans="1:13" x14ac:dyDescent="0.35">
      <c r="A288" s="1" t="s">
        <v>23</v>
      </c>
      <c r="B288" t="str">
        <f t="shared" si="17"/>
        <v>R175</v>
      </c>
      <c r="C288" t="str">
        <f t="shared" si="16"/>
        <v>R</v>
      </c>
      <c r="D288" t="s">
        <v>5</v>
      </c>
      <c r="E288">
        <v>5</v>
      </c>
      <c r="F288" s="2" t="s">
        <v>828</v>
      </c>
      <c r="G288" s="2" t="s">
        <v>829</v>
      </c>
      <c r="H288" s="2" t="s">
        <v>830</v>
      </c>
      <c r="I288" s="2" t="str">
        <f t="shared" si="18"/>
        <v>0.627</v>
      </c>
      <c r="J288" s="2" t="str">
        <f t="shared" si="19"/>
        <v>32.253</v>
      </c>
      <c r="K288" s="2" t="str">
        <f t="shared" si="19"/>
        <v>0.3438</v>
      </c>
      <c r="L288" s="3">
        <v>10.54</v>
      </c>
      <c r="M288">
        <f>((10.97-L288)/10.97)*100</f>
        <v>3.9197812215132313</v>
      </c>
    </row>
    <row r="289" spans="1:13" x14ac:dyDescent="0.35">
      <c r="A289" s="1" t="s">
        <v>24</v>
      </c>
      <c r="B289" t="str">
        <f t="shared" si="17"/>
        <v>R185</v>
      </c>
      <c r="C289" t="str">
        <f t="shared" si="16"/>
        <v>R</v>
      </c>
      <c r="D289" t="s">
        <v>5</v>
      </c>
      <c r="E289">
        <v>5</v>
      </c>
      <c r="F289" s="2" t="s">
        <v>831</v>
      </c>
      <c r="G289" s="2" t="s">
        <v>832</v>
      </c>
      <c r="H289" s="2" t="s">
        <v>833</v>
      </c>
      <c r="I289" s="2" t="str">
        <f t="shared" si="18"/>
        <v>1.093</v>
      </c>
      <c r="J289" s="2" t="str">
        <f t="shared" si="19"/>
        <v>30.936</v>
      </c>
      <c r="K289" s="2" t="str">
        <f t="shared" si="19"/>
        <v>0.6288</v>
      </c>
      <c r="L289" s="3">
        <v>7.74</v>
      </c>
      <c r="M289">
        <f>((8.03-L289)/8.03)*100</f>
        <v>3.6114570361145599</v>
      </c>
    </row>
    <row r="290" spans="1:13" x14ac:dyDescent="0.35">
      <c r="A290" s="1" t="s">
        <v>25</v>
      </c>
      <c r="B290" t="str">
        <f t="shared" si="17"/>
        <v>R195</v>
      </c>
      <c r="C290" t="str">
        <f t="shared" si="16"/>
        <v>R</v>
      </c>
      <c r="D290" t="s">
        <v>5</v>
      </c>
      <c r="E290">
        <v>5</v>
      </c>
      <c r="F290" s="2" t="s">
        <v>834</v>
      </c>
      <c r="G290" s="2" t="s">
        <v>835</v>
      </c>
      <c r="H290" s="2" t="s">
        <v>836</v>
      </c>
      <c r="I290" s="2" t="str">
        <f t="shared" si="18"/>
        <v>0.566</v>
      </c>
      <c r="J290" s="2" t="str">
        <f t="shared" si="19"/>
        <v>34.671</v>
      </c>
      <c r="K290" s="2" t="str">
        <f t="shared" si="19"/>
        <v>0.2897</v>
      </c>
      <c r="L290" s="3">
        <v>8.58</v>
      </c>
      <c r="M290">
        <f>((8.97-L290)/8.97)*100</f>
        <v>4.3478260869565277</v>
      </c>
    </row>
    <row r="291" spans="1:13" x14ac:dyDescent="0.35">
      <c r="A291" s="1" t="s">
        <v>26</v>
      </c>
      <c r="B291" t="str">
        <f t="shared" si="17"/>
        <v>R205</v>
      </c>
      <c r="C291" t="str">
        <f t="shared" si="16"/>
        <v>R</v>
      </c>
      <c r="D291" t="s">
        <v>5</v>
      </c>
      <c r="E291">
        <v>5</v>
      </c>
      <c r="F291" s="2" t="s">
        <v>837</v>
      </c>
      <c r="G291" s="2" t="s">
        <v>838</v>
      </c>
      <c r="H291" s="2" t="s">
        <v>839</v>
      </c>
      <c r="I291" s="2" t="str">
        <f t="shared" si="18"/>
        <v>1.117</v>
      </c>
      <c r="J291" s="2" t="str">
        <f t="shared" si="19"/>
        <v>32.153</v>
      </c>
      <c r="K291" s="2" t="str">
        <f t="shared" si="19"/>
        <v>0.6173</v>
      </c>
      <c r="L291" s="3">
        <v>8.8000000000000007</v>
      </c>
      <c r="M291">
        <f>((9.17-L291)/9.17)*100</f>
        <v>4.0348964013086066</v>
      </c>
    </row>
    <row r="292" spans="1:13" x14ac:dyDescent="0.35">
      <c r="A292" s="1" t="s">
        <v>27</v>
      </c>
      <c r="B292" t="str">
        <f t="shared" si="17"/>
        <v>R215</v>
      </c>
      <c r="C292" t="str">
        <f t="shared" si="16"/>
        <v>R</v>
      </c>
      <c r="D292" t="s">
        <v>5</v>
      </c>
      <c r="E292">
        <v>5</v>
      </c>
      <c r="F292" s="2" t="s">
        <v>840</v>
      </c>
      <c r="G292" s="2" t="s">
        <v>841</v>
      </c>
      <c r="H292" s="2" t="s">
        <v>842</v>
      </c>
      <c r="I292" s="2" t="str">
        <f t="shared" si="18"/>
        <v>0.587</v>
      </c>
      <c r="J292" s="2" t="str">
        <f t="shared" si="19"/>
        <v>34.448</v>
      </c>
      <c r="K292" s="2" t="str">
        <f t="shared" si="19"/>
        <v>0.3020</v>
      </c>
      <c r="L292" s="3">
        <v>10.63</v>
      </c>
      <c r="M292">
        <f>((11.02-L292)/11.02)*100</f>
        <v>3.5390199637023487</v>
      </c>
    </row>
    <row r="293" spans="1:13" x14ac:dyDescent="0.35">
      <c r="A293" s="1" t="s">
        <v>28</v>
      </c>
      <c r="B293" t="str">
        <f t="shared" si="17"/>
        <v>R225</v>
      </c>
      <c r="C293" t="str">
        <f t="shared" si="16"/>
        <v>R</v>
      </c>
      <c r="D293" t="s">
        <v>5</v>
      </c>
      <c r="E293">
        <v>5</v>
      </c>
      <c r="F293" s="2" t="s">
        <v>843</v>
      </c>
      <c r="G293" s="2" t="s">
        <v>844</v>
      </c>
      <c r="H293" s="2" t="s">
        <v>845</v>
      </c>
      <c r="I293" s="2" t="str">
        <f t="shared" si="18"/>
        <v>0.789</v>
      </c>
      <c r="J293" s="2" t="str">
        <f t="shared" si="19"/>
        <v>37.711</v>
      </c>
      <c r="K293" s="2" t="str">
        <f t="shared" si="19"/>
        <v>0.3704</v>
      </c>
      <c r="L293" s="3">
        <v>10.89</v>
      </c>
      <c r="M293">
        <f>((11.2-L293)/11.2)*100</f>
        <v>2.7678571428571317</v>
      </c>
    </row>
    <row r="294" spans="1:13" x14ac:dyDescent="0.35">
      <c r="A294" s="1" t="s">
        <v>29</v>
      </c>
      <c r="B294" t="str">
        <f t="shared" si="17"/>
        <v>R235</v>
      </c>
      <c r="C294" t="str">
        <f t="shared" si="16"/>
        <v>R</v>
      </c>
      <c r="D294" t="s">
        <v>5</v>
      </c>
      <c r="E294">
        <v>5</v>
      </c>
      <c r="F294" s="2" t="s">
        <v>846</v>
      </c>
      <c r="G294" s="2" t="s">
        <v>847</v>
      </c>
      <c r="H294" s="2" t="s">
        <v>848</v>
      </c>
      <c r="I294" s="2" t="str">
        <f t="shared" si="18"/>
        <v>0.435</v>
      </c>
      <c r="J294" s="2" t="str">
        <f t="shared" si="19"/>
        <v>35.833</v>
      </c>
      <c r="K294" s="2" t="str">
        <f t="shared" si="19"/>
        <v>0.2153</v>
      </c>
      <c r="L294" s="3">
        <v>10.029999999999999</v>
      </c>
      <c r="M294">
        <f>((10.41-L294)/10.41)*100</f>
        <v>3.6503362151777212</v>
      </c>
    </row>
    <row r="295" spans="1:13" x14ac:dyDescent="0.35">
      <c r="A295" s="1" t="s">
        <v>30</v>
      </c>
      <c r="B295" t="str">
        <f t="shared" si="17"/>
        <v>R245</v>
      </c>
      <c r="C295" t="str">
        <f t="shared" si="16"/>
        <v>R</v>
      </c>
      <c r="D295" t="s">
        <v>5</v>
      </c>
      <c r="E295">
        <v>5</v>
      </c>
      <c r="F295" s="2" t="s">
        <v>849</v>
      </c>
      <c r="G295" s="2" t="s">
        <v>850</v>
      </c>
      <c r="H295" s="2" t="s">
        <v>851</v>
      </c>
      <c r="I295" s="2" t="str">
        <f t="shared" si="18"/>
        <v>0.800</v>
      </c>
      <c r="J295" s="2" t="str">
        <f t="shared" si="19"/>
        <v>31.814</v>
      </c>
      <c r="K295" s="2" t="str">
        <f t="shared" si="19"/>
        <v>0.4485</v>
      </c>
      <c r="L295" s="3">
        <v>11.49</v>
      </c>
      <c r="M295">
        <f>((11.96-L295)/11.96)*100</f>
        <v>3.9297658862876306</v>
      </c>
    </row>
    <row r="296" spans="1:13" x14ac:dyDescent="0.35">
      <c r="A296" s="1" t="s">
        <v>31</v>
      </c>
      <c r="B296" t="str">
        <f t="shared" si="17"/>
        <v>R255</v>
      </c>
      <c r="C296" t="str">
        <f t="shared" si="16"/>
        <v>R</v>
      </c>
      <c r="D296" t="s">
        <v>5</v>
      </c>
      <c r="E296">
        <v>5</v>
      </c>
      <c r="F296" s="2" t="s">
        <v>852</v>
      </c>
      <c r="G296" s="2" t="s">
        <v>853</v>
      </c>
      <c r="H296" s="2" t="s">
        <v>854</v>
      </c>
      <c r="I296" s="2" t="str">
        <f t="shared" si="18"/>
        <v>0.657</v>
      </c>
      <c r="J296" s="2" t="str">
        <f t="shared" si="19"/>
        <v>32.875</v>
      </c>
      <c r="K296" s="2" t="str">
        <f t="shared" si="19"/>
        <v>0.3573</v>
      </c>
      <c r="L296" s="3">
        <v>11.35</v>
      </c>
      <c r="M296">
        <f>((11.77-L296)/11.77)*100</f>
        <v>3.5683942225998293</v>
      </c>
    </row>
    <row r="297" spans="1:13" x14ac:dyDescent="0.35">
      <c r="A297" s="1" t="s">
        <v>32</v>
      </c>
      <c r="B297" t="str">
        <f t="shared" si="17"/>
        <v>R265</v>
      </c>
      <c r="C297" t="str">
        <f t="shared" si="16"/>
        <v>R</v>
      </c>
      <c r="D297" t="s">
        <v>5</v>
      </c>
      <c r="E297">
        <v>5</v>
      </c>
      <c r="F297" s="2" t="s">
        <v>855</v>
      </c>
      <c r="G297" s="2" t="s">
        <v>856</v>
      </c>
      <c r="H297" s="2" t="s">
        <v>857</v>
      </c>
      <c r="I297" s="2" t="str">
        <f t="shared" si="18"/>
        <v>0.906</v>
      </c>
      <c r="J297" s="2" t="str">
        <f t="shared" si="19"/>
        <v>34.185</v>
      </c>
      <c r="K297" s="2" t="str">
        <f t="shared" si="19"/>
        <v>0.4698</v>
      </c>
      <c r="L297" s="3">
        <v>12.33</v>
      </c>
      <c r="M297">
        <f>((12.72-L297)/12.72)*100</f>
        <v>3.0660377358490609</v>
      </c>
    </row>
    <row r="298" spans="1:13" x14ac:dyDescent="0.35">
      <c r="A298" s="1" t="s">
        <v>33</v>
      </c>
      <c r="B298" t="str">
        <f t="shared" si="17"/>
        <v>R275</v>
      </c>
      <c r="C298" t="str">
        <f t="shared" si="16"/>
        <v>R</v>
      </c>
      <c r="D298" t="s">
        <v>5</v>
      </c>
      <c r="E298">
        <v>5</v>
      </c>
      <c r="F298" s="2" t="s">
        <v>858</v>
      </c>
      <c r="G298" s="2" t="s">
        <v>859</v>
      </c>
      <c r="H298" s="2" t="s">
        <v>860</v>
      </c>
      <c r="I298" s="2" t="str">
        <f t="shared" si="18"/>
        <v>0.607</v>
      </c>
      <c r="J298" s="2" t="str">
        <f t="shared" si="19"/>
        <v>35.690</v>
      </c>
      <c r="K298" s="2" t="str">
        <f t="shared" si="19"/>
        <v>0.3016</v>
      </c>
      <c r="L298" s="3">
        <v>12.62</v>
      </c>
      <c r="M298">
        <f>((13.02-L298)/13.02)*100</f>
        <v>3.0721966205837203</v>
      </c>
    </row>
    <row r="299" spans="1:13" x14ac:dyDescent="0.35">
      <c r="A299" s="1" t="s">
        <v>34</v>
      </c>
      <c r="B299" t="str">
        <f t="shared" si="17"/>
        <v>R285</v>
      </c>
      <c r="C299" t="str">
        <f t="shared" si="16"/>
        <v>R</v>
      </c>
      <c r="D299" t="s">
        <v>5</v>
      </c>
      <c r="E299">
        <v>5</v>
      </c>
      <c r="F299" s="2" t="s">
        <v>861</v>
      </c>
      <c r="G299" s="2" t="s">
        <v>862</v>
      </c>
      <c r="H299" s="2" t="s">
        <v>863</v>
      </c>
      <c r="I299" s="2" t="str">
        <f t="shared" si="18"/>
        <v>1.053</v>
      </c>
      <c r="J299" s="2" t="str">
        <f t="shared" si="19"/>
        <v>34.058</v>
      </c>
      <c r="K299" s="2" t="str">
        <f t="shared" si="19"/>
        <v>0.5490</v>
      </c>
      <c r="L299" s="3">
        <v>9.82</v>
      </c>
      <c r="M299">
        <f>((10.13-L299)/10.13)*100</f>
        <v>3.0602171767028672</v>
      </c>
    </row>
    <row r="300" spans="1:13" x14ac:dyDescent="0.35">
      <c r="A300" s="1" t="s">
        <v>35</v>
      </c>
      <c r="B300" t="str">
        <f t="shared" si="17"/>
        <v>R295</v>
      </c>
      <c r="C300" t="str">
        <f t="shared" si="16"/>
        <v>R</v>
      </c>
      <c r="D300" t="s">
        <v>5</v>
      </c>
      <c r="E300">
        <v>5</v>
      </c>
      <c r="F300" s="2" t="s">
        <v>864</v>
      </c>
      <c r="G300" s="2" t="s">
        <v>865</v>
      </c>
      <c r="H300" s="2" t="s">
        <v>866</v>
      </c>
      <c r="I300" s="2" t="str">
        <f t="shared" si="18"/>
        <v>0.537</v>
      </c>
      <c r="J300" s="2" t="str">
        <f t="shared" si="19"/>
        <v>32.605</v>
      </c>
      <c r="K300" s="2" t="str">
        <f t="shared" si="19"/>
        <v>0.2906</v>
      </c>
      <c r="L300" s="3">
        <v>8.01</v>
      </c>
      <c r="M300">
        <f>((8.49-L300)/8.49)*100</f>
        <v>5.653710247349828</v>
      </c>
    </row>
    <row r="301" spans="1:13" x14ac:dyDescent="0.35">
      <c r="A301" s="1" t="s">
        <v>36</v>
      </c>
      <c r="B301" t="str">
        <f t="shared" si="17"/>
        <v>R305</v>
      </c>
      <c r="C301" t="str">
        <f t="shared" si="16"/>
        <v>R</v>
      </c>
      <c r="D301" t="s">
        <v>5</v>
      </c>
      <c r="E301">
        <v>5</v>
      </c>
      <c r="F301" s="2" t="s">
        <v>873</v>
      </c>
      <c r="G301" s="2" t="s">
        <v>874</v>
      </c>
      <c r="H301" s="2" t="s">
        <v>875</v>
      </c>
      <c r="I301" s="2" t="str">
        <f t="shared" si="18"/>
        <v>0.611</v>
      </c>
      <c r="J301" s="2" t="str">
        <f t="shared" si="19"/>
        <v>34.158</v>
      </c>
      <c r="K301" s="2" t="str">
        <f t="shared" si="19"/>
        <v>0.3171</v>
      </c>
      <c r="L301" s="3">
        <v>7.44</v>
      </c>
      <c r="M301">
        <f>((7.78-L301)/7.78)*100</f>
        <v>4.3701799485861166</v>
      </c>
    </row>
    <row r="302" spans="1:13" x14ac:dyDescent="0.35">
      <c r="A302" s="1" t="s">
        <v>7</v>
      </c>
      <c r="B302" t="str">
        <f t="shared" si="17"/>
        <v>C016</v>
      </c>
      <c r="C302" t="str">
        <f t="shared" si="16"/>
        <v>C</v>
      </c>
      <c r="D302" t="s">
        <v>4</v>
      </c>
      <c r="E302">
        <v>6</v>
      </c>
      <c r="F302" s="2" t="s">
        <v>1046</v>
      </c>
      <c r="G302" s="2" t="s">
        <v>1047</v>
      </c>
      <c r="H302" s="2" t="s">
        <v>1048</v>
      </c>
      <c r="I302" s="2" t="str">
        <f t="shared" si="18"/>
        <v>1.050</v>
      </c>
      <c r="J302" s="2" t="str">
        <f t="shared" si="19"/>
        <v>32.462</v>
      </c>
      <c r="K302" s="2" t="str">
        <f t="shared" si="19"/>
        <v>0.5731</v>
      </c>
      <c r="L302" s="3">
        <v>10.51</v>
      </c>
      <c r="M302">
        <f>((10.71-L302)/10.71)*100</f>
        <v>1.867413632119524</v>
      </c>
    </row>
    <row r="303" spans="1:13" x14ac:dyDescent="0.35">
      <c r="A303" s="1" t="s">
        <v>8</v>
      </c>
      <c r="B303" t="str">
        <f t="shared" si="17"/>
        <v>C026</v>
      </c>
      <c r="C303" t="str">
        <f t="shared" si="16"/>
        <v>C</v>
      </c>
      <c r="D303" t="s">
        <v>4</v>
      </c>
      <c r="E303">
        <v>6</v>
      </c>
      <c r="F303" s="2" t="s">
        <v>1049</v>
      </c>
      <c r="G303" s="2" t="s">
        <v>1050</v>
      </c>
      <c r="H303" s="2" t="s">
        <v>1051</v>
      </c>
      <c r="I303" s="2" t="str">
        <f t="shared" si="18"/>
        <v>1.003</v>
      </c>
      <c r="J303" s="2" t="str">
        <f t="shared" si="19"/>
        <v>30.176</v>
      </c>
      <c r="K303" s="2" t="str">
        <f t="shared" si="19"/>
        <v>0.5881</v>
      </c>
      <c r="L303" s="3">
        <v>10.96</v>
      </c>
      <c r="M303">
        <f>((11.03-L303)/11.03)*100</f>
        <v>0.63463281958294204</v>
      </c>
    </row>
    <row r="304" spans="1:13" x14ac:dyDescent="0.35">
      <c r="A304" s="1" t="s">
        <v>21</v>
      </c>
      <c r="B304" t="str">
        <f t="shared" si="17"/>
        <v>C036</v>
      </c>
      <c r="C304" t="str">
        <f t="shared" si="16"/>
        <v>C</v>
      </c>
      <c r="D304" t="s">
        <v>4</v>
      </c>
      <c r="E304">
        <v>6</v>
      </c>
      <c r="F304" s="2" t="s">
        <v>1052</v>
      </c>
      <c r="G304" s="2" t="s">
        <v>1053</v>
      </c>
      <c r="H304" s="2" t="s">
        <v>1054</v>
      </c>
      <c r="I304" s="2" t="str">
        <f t="shared" si="18"/>
        <v>0.439</v>
      </c>
      <c r="J304" s="2" t="str">
        <f t="shared" si="19"/>
        <v>32.622</v>
      </c>
      <c r="K304" s="2" t="str">
        <f t="shared" si="19"/>
        <v>0.2404</v>
      </c>
      <c r="L304" s="3">
        <v>8.82</v>
      </c>
      <c r="M304">
        <f>((8.99-L304)/8.99)*100</f>
        <v>1.8909899888765287</v>
      </c>
    </row>
    <row r="305" spans="1:13" x14ac:dyDescent="0.35">
      <c r="A305" s="1" t="s">
        <v>9</v>
      </c>
      <c r="B305" t="str">
        <f t="shared" si="17"/>
        <v>C046</v>
      </c>
      <c r="C305" t="str">
        <f t="shared" si="16"/>
        <v>C</v>
      </c>
      <c r="D305" t="s">
        <v>4</v>
      </c>
      <c r="E305">
        <v>6</v>
      </c>
      <c r="F305" s="2" t="s">
        <v>1055</v>
      </c>
      <c r="G305" s="2" t="s">
        <v>1056</v>
      </c>
      <c r="H305" s="2" t="s">
        <v>1057</v>
      </c>
      <c r="I305" s="2" t="str">
        <f t="shared" si="18"/>
        <v>0.815</v>
      </c>
      <c r="J305" s="2" t="str">
        <f t="shared" si="19"/>
        <v>35.647</v>
      </c>
      <c r="K305" s="2" t="str">
        <f t="shared" si="19"/>
        <v>0.4051</v>
      </c>
      <c r="L305" s="3">
        <v>12.66</v>
      </c>
      <c r="M305">
        <f>((12.82-L305)/12.82)*100</f>
        <v>1.248049921996881</v>
      </c>
    </row>
    <row r="306" spans="1:13" x14ac:dyDescent="0.35">
      <c r="A306" s="1" t="s">
        <v>10</v>
      </c>
      <c r="B306" t="str">
        <f t="shared" si="17"/>
        <v>C056</v>
      </c>
      <c r="C306" t="str">
        <f t="shared" si="16"/>
        <v>C</v>
      </c>
      <c r="D306" t="s">
        <v>4</v>
      </c>
      <c r="E306">
        <v>6</v>
      </c>
      <c r="F306" s="2" t="s">
        <v>1058</v>
      </c>
      <c r="G306" s="2" t="s">
        <v>1059</v>
      </c>
      <c r="H306" s="2" t="s">
        <v>1060</v>
      </c>
      <c r="I306" s="2" t="str">
        <f t="shared" si="18"/>
        <v>0.418</v>
      </c>
      <c r="J306" s="2" t="str">
        <f t="shared" si="19"/>
        <v>34.732</v>
      </c>
      <c r="K306" s="2" t="str">
        <f t="shared" si="19"/>
        <v>0.2147</v>
      </c>
      <c r="L306" s="3">
        <v>11.04</v>
      </c>
      <c r="M306">
        <f>((11.24-L306)/11.24)*100</f>
        <v>1.7793594306049918</v>
      </c>
    </row>
    <row r="307" spans="1:13" x14ac:dyDescent="0.35">
      <c r="A307" s="1" t="s">
        <v>11</v>
      </c>
      <c r="B307" t="str">
        <f t="shared" si="17"/>
        <v>C066</v>
      </c>
      <c r="C307" t="str">
        <f t="shared" si="16"/>
        <v>C</v>
      </c>
      <c r="D307" t="s">
        <v>4</v>
      </c>
      <c r="E307">
        <v>6</v>
      </c>
      <c r="F307" s="2" t="s">
        <v>1061</v>
      </c>
      <c r="G307" s="2" t="s">
        <v>1062</v>
      </c>
      <c r="H307" s="2" t="s">
        <v>1063</v>
      </c>
      <c r="I307" s="2" t="str">
        <f t="shared" si="18"/>
        <v>1.012</v>
      </c>
      <c r="J307" s="2" t="str">
        <f t="shared" si="19"/>
        <v>32.741</v>
      </c>
      <c r="K307" s="2" t="str">
        <f t="shared" si="19"/>
        <v>0.5482</v>
      </c>
      <c r="L307" s="3">
        <v>9.3000000000000007</v>
      </c>
      <c r="M307">
        <f>((9.49-L307)/9.49)*100</f>
        <v>2.002107481559531</v>
      </c>
    </row>
    <row r="308" spans="1:13" x14ac:dyDescent="0.35">
      <c r="A308" s="1" t="s">
        <v>12</v>
      </c>
      <c r="B308" t="str">
        <f t="shared" si="17"/>
        <v>C076</v>
      </c>
      <c r="C308" t="str">
        <f t="shared" si="16"/>
        <v>C</v>
      </c>
      <c r="D308" t="s">
        <v>4</v>
      </c>
      <c r="E308">
        <v>6</v>
      </c>
      <c r="F308" s="2" t="s">
        <v>1064</v>
      </c>
      <c r="G308" s="2" t="s">
        <v>1065</v>
      </c>
      <c r="H308" s="2" t="s">
        <v>1066</v>
      </c>
      <c r="I308" s="2" t="str">
        <f t="shared" si="18"/>
        <v>0.867</v>
      </c>
      <c r="J308" s="2" t="str">
        <f t="shared" si="19"/>
        <v>34.954</v>
      </c>
      <c r="K308" s="2" t="str">
        <f t="shared" si="19"/>
        <v>0.4513</v>
      </c>
      <c r="L308" s="3">
        <v>12.11</v>
      </c>
      <c r="M308">
        <f>((12.19-L308)/12.19)*100</f>
        <v>0.65627563576702275</v>
      </c>
    </row>
    <row r="309" spans="1:13" x14ac:dyDescent="0.35">
      <c r="A309" s="1" t="s">
        <v>13</v>
      </c>
      <c r="B309" t="str">
        <f t="shared" si="17"/>
        <v>C086</v>
      </c>
      <c r="C309" t="str">
        <f t="shared" si="16"/>
        <v>C</v>
      </c>
      <c r="D309" t="s">
        <v>4</v>
      </c>
      <c r="E309">
        <v>6</v>
      </c>
      <c r="F309" s="2" t="s">
        <v>1067</v>
      </c>
      <c r="G309" s="2" t="s">
        <v>1068</v>
      </c>
      <c r="H309" s="2" t="s">
        <v>1069</v>
      </c>
      <c r="I309" s="2" t="str">
        <f t="shared" si="18"/>
        <v>0.503</v>
      </c>
      <c r="J309" s="2" t="str">
        <f t="shared" si="19"/>
        <v>33.694</v>
      </c>
      <c r="K309" s="2" t="str">
        <f t="shared" si="19"/>
        <v>0.2662</v>
      </c>
      <c r="L309" s="3">
        <v>8.89</v>
      </c>
      <c r="M309">
        <f>((9.02-L309)/9.02)*100</f>
        <v>1.4412416851441132</v>
      </c>
    </row>
    <row r="310" spans="1:13" x14ac:dyDescent="0.35">
      <c r="A310" s="1" t="s">
        <v>14</v>
      </c>
      <c r="B310" t="str">
        <f t="shared" si="17"/>
        <v>C096</v>
      </c>
      <c r="C310" t="str">
        <f t="shared" si="16"/>
        <v>C</v>
      </c>
      <c r="D310" t="s">
        <v>4</v>
      </c>
      <c r="E310">
        <v>6</v>
      </c>
      <c r="F310" s="2" t="s">
        <v>1073</v>
      </c>
      <c r="G310" s="2" t="s">
        <v>1074</v>
      </c>
      <c r="H310" s="2" t="s">
        <v>1075</v>
      </c>
      <c r="I310" s="2" t="str">
        <f t="shared" si="18"/>
        <v>0.404</v>
      </c>
      <c r="J310" s="2" t="str">
        <f t="shared" si="19"/>
        <v>31.220</v>
      </c>
      <c r="K310" s="2" t="str">
        <f t="shared" si="19"/>
        <v>0.2310</v>
      </c>
      <c r="L310" s="3">
        <v>8.57</v>
      </c>
      <c r="M310">
        <f>((8.66-L310)/8.66)*100</f>
        <v>1.0392609699769038</v>
      </c>
    </row>
    <row r="311" spans="1:13" x14ac:dyDescent="0.35">
      <c r="A311" s="1" t="s">
        <v>15</v>
      </c>
      <c r="B311" t="str">
        <f t="shared" si="17"/>
        <v>C106</v>
      </c>
      <c r="C311" t="str">
        <f t="shared" si="16"/>
        <v>C</v>
      </c>
      <c r="D311" t="s">
        <v>4</v>
      </c>
      <c r="E311">
        <v>6</v>
      </c>
      <c r="F311" s="2" t="s">
        <v>1076</v>
      </c>
      <c r="G311" s="2" t="s">
        <v>1077</v>
      </c>
      <c r="H311" s="2" t="s">
        <v>1078</v>
      </c>
      <c r="I311" s="2" t="str">
        <f t="shared" si="18"/>
        <v>1.131</v>
      </c>
      <c r="J311" s="2" t="str">
        <f t="shared" si="19"/>
        <v>32.430</v>
      </c>
      <c r="K311" s="2" t="str">
        <f t="shared" si="19"/>
        <v>0.6174</v>
      </c>
      <c r="L311" s="3">
        <v>12.63</v>
      </c>
      <c r="M311">
        <f>((12.87-L311)/12.87)*100</f>
        <v>1.8648018648018527</v>
      </c>
    </row>
    <row r="312" spans="1:13" x14ac:dyDescent="0.35">
      <c r="A312" s="1" t="s">
        <v>16</v>
      </c>
      <c r="B312" t="str">
        <f t="shared" si="17"/>
        <v>C116</v>
      </c>
      <c r="C312" t="str">
        <f t="shared" si="16"/>
        <v>C</v>
      </c>
      <c r="D312" t="s">
        <v>4</v>
      </c>
      <c r="E312">
        <v>6</v>
      </c>
      <c r="F312" s="2" t="s">
        <v>1070</v>
      </c>
      <c r="G312" s="2" t="s">
        <v>1071</v>
      </c>
      <c r="H312" s="2" t="s">
        <v>1072</v>
      </c>
      <c r="I312" s="2" t="str">
        <f t="shared" si="18"/>
        <v>0.673</v>
      </c>
      <c r="J312" s="2" t="str">
        <f t="shared" si="19"/>
        <v>33.273</v>
      </c>
      <c r="K312" s="2" t="str">
        <f t="shared" si="19"/>
        <v>0.3728</v>
      </c>
      <c r="L312" s="3">
        <v>7.98</v>
      </c>
      <c r="M312">
        <f>((8.02-L312)/8.02)*100</f>
        <v>0.49875311720697196</v>
      </c>
    </row>
    <row r="313" spans="1:13" x14ac:dyDescent="0.35">
      <c r="A313" s="1" t="s">
        <v>17</v>
      </c>
      <c r="B313" t="str">
        <f t="shared" si="17"/>
        <v>C126</v>
      </c>
      <c r="C313" t="str">
        <f t="shared" si="16"/>
        <v>C</v>
      </c>
      <c r="D313" t="s">
        <v>4</v>
      </c>
      <c r="E313">
        <v>6</v>
      </c>
      <c r="F313" s="2" t="s">
        <v>688</v>
      </c>
      <c r="G313" s="2" t="s">
        <v>1079</v>
      </c>
      <c r="H313" s="2" t="s">
        <v>1080</v>
      </c>
      <c r="I313" s="2" t="str">
        <f t="shared" si="18"/>
        <v>0.480</v>
      </c>
      <c r="J313" s="2" t="str">
        <f t="shared" si="19"/>
        <v>34.281</v>
      </c>
      <c r="K313" s="2" t="str">
        <f t="shared" si="19"/>
        <v>0.2482</v>
      </c>
      <c r="L313" s="3">
        <v>8.9700000000000006</v>
      </c>
      <c r="M313">
        <f>((9.02-L313)/9.02)*100</f>
        <v>0.5543237250554206</v>
      </c>
    </row>
    <row r="314" spans="1:13" x14ac:dyDescent="0.35">
      <c r="A314" s="1" t="s">
        <v>18</v>
      </c>
      <c r="B314" t="str">
        <f t="shared" si="17"/>
        <v>C136</v>
      </c>
      <c r="C314" t="str">
        <f t="shared" si="16"/>
        <v>C</v>
      </c>
      <c r="D314" t="s">
        <v>4</v>
      </c>
      <c r="E314">
        <v>6</v>
      </c>
      <c r="F314" s="2" t="s">
        <v>1081</v>
      </c>
      <c r="G314" s="2" t="s">
        <v>1082</v>
      </c>
      <c r="H314" s="2" t="s">
        <v>1083</v>
      </c>
      <c r="I314" s="2" t="str">
        <f t="shared" si="18"/>
        <v>0.508</v>
      </c>
      <c r="J314" s="2" t="str">
        <f t="shared" si="19"/>
        <v>34.122</v>
      </c>
      <c r="K314" s="2" t="str">
        <f t="shared" si="19"/>
        <v>0.2653</v>
      </c>
      <c r="L314" s="3">
        <v>10.44</v>
      </c>
      <c r="M314">
        <f>((10.68-L314)/10.68)*100</f>
        <v>2.247191011235957</v>
      </c>
    </row>
    <row r="315" spans="1:13" x14ac:dyDescent="0.35">
      <c r="A315" s="1" t="s">
        <v>19</v>
      </c>
      <c r="B315" t="str">
        <f t="shared" si="17"/>
        <v>C146</v>
      </c>
      <c r="C315" t="str">
        <f t="shared" ref="C315:C378" si="20">LEFT(D315,1)</f>
        <v>C</v>
      </c>
      <c r="D315" t="s">
        <v>4</v>
      </c>
      <c r="E315">
        <v>6</v>
      </c>
      <c r="F315" s="2" t="s">
        <v>1084</v>
      </c>
      <c r="G315" s="2" t="s">
        <v>1085</v>
      </c>
      <c r="H315" s="2" t="s">
        <v>1086</v>
      </c>
      <c r="I315" s="2" t="str">
        <f t="shared" si="18"/>
        <v>0.571</v>
      </c>
      <c r="J315" s="2" t="str">
        <f t="shared" si="19"/>
        <v>35.827</v>
      </c>
      <c r="K315" s="2" t="str">
        <f t="shared" si="19"/>
        <v>0.2862</v>
      </c>
      <c r="L315" s="3">
        <v>9.16</v>
      </c>
      <c r="M315">
        <f>((9.31-L315)/9.31)*100</f>
        <v>1.6111707841031184</v>
      </c>
    </row>
    <row r="316" spans="1:13" x14ac:dyDescent="0.35">
      <c r="A316" s="1" t="s">
        <v>20</v>
      </c>
      <c r="B316" t="str">
        <f t="shared" si="17"/>
        <v>C156</v>
      </c>
      <c r="C316" t="str">
        <f t="shared" si="20"/>
        <v>C</v>
      </c>
      <c r="D316" t="s">
        <v>4</v>
      </c>
      <c r="E316">
        <v>6</v>
      </c>
      <c r="F316" s="2" t="s">
        <v>1087</v>
      </c>
      <c r="G316" s="2" t="s">
        <v>1088</v>
      </c>
      <c r="H316" s="2" t="s">
        <v>1089</v>
      </c>
      <c r="I316" s="2" t="str">
        <f t="shared" si="18"/>
        <v>0.760</v>
      </c>
      <c r="J316" s="2" t="str">
        <f t="shared" si="19"/>
        <v>30.158</v>
      </c>
      <c r="K316" s="2" t="str">
        <f t="shared" si="19"/>
        <v>0.4490</v>
      </c>
      <c r="L316" s="3">
        <v>12.76</v>
      </c>
      <c r="M316">
        <f>((12.96-L316)/12.96)*100</f>
        <v>1.5432098765432178</v>
      </c>
    </row>
    <row r="317" spans="1:13" x14ac:dyDescent="0.35">
      <c r="A317" s="1" t="s">
        <v>22</v>
      </c>
      <c r="B317" t="str">
        <f t="shared" si="17"/>
        <v>C166</v>
      </c>
      <c r="C317" t="str">
        <f t="shared" si="20"/>
        <v>C</v>
      </c>
      <c r="D317" t="s">
        <v>4</v>
      </c>
      <c r="E317">
        <v>6</v>
      </c>
      <c r="F317" s="2" t="s">
        <v>1090</v>
      </c>
      <c r="G317" s="2" t="s">
        <v>1091</v>
      </c>
      <c r="H317" s="2" t="s">
        <v>1092</v>
      </c>
      <c r="I317" s="2" t="str">
        <f t="shared" si="18"/>
        <v>1.083</v>
      </c>
      <c r="J317" s="2" t="str">
        <f t="shared" si="19"/>
        <v>32.923</v>
      </c>
      <c r="K317" s="2" t="str">
        <f t="shared" si="19"/>
        <v>0.5839</v>
      </c>
      <c r="L317" s="3">
        <v>12.79</v>
      </c>
      <c r="M317">
        <f>((13.01-L317)/13.01)*100</f>
        <v>1.6910069177555775</v>
      </c>
    </row>
    <row r="318" spans="1:13" x14ac:dyDescent="0.35">
      <c r="A318" s="1" t="s">
        <v>23</v>
      </c>
      <c r="B318" t="str">
        <f t="shared" si="17"/>
        <v>C176</v>
      </c>
      <c r="C318" t="str">
        <f t="shared" si="20"/>
        <v>C</v>
      </c>
      <c r="D318" t="s">
        <v>4</v>
      </c>
      <c r="E318">
        <v>6</v>
      </c>
      <c r="F318" s="2" t="s">
        <v>1093</v>
      </c>
      <c r="G318" s="2" t="s">
        <v>1094</v>
      </c>
      <c r="H318" s="2" t="s">
        <v>1095</v>
      </c>
      <c r="I318" s="2" t="str">
        <f t="shared" si="18"/>
        <v>0.942</v>
      </c>
      <c r="J318" s="2" t="str">
        <f t="shared" si="19"/>
        <v>29.674</v>
      </c>
      <c r="K318" s="2" t="str">
        <f t="shared" si="19"/>
        <v>0.5620</v>
      </c>
      <c r="L318" s="3">
        <v>8.15</v>
      </c>
      <c r="M318">
        <f>((8.28-L318)/8.28)*100</f>
        <v>1.5700483091787323</v>
      </c>
    </row>
    <row r="319" spans="1:13" x14ac:dyDescent="0.35">
      <c r="A319" s="1" t="s">
        <v>24</v>
      </c>
      <c r="B319" t="str">
        <f t="shared" si="17"/>
        <v>C186</v>
      </c>
      <c r="C319" t="str">
        <f t="shared" si="20"/>
        <v>C</v>
      </c>
      <c r="D319" t="s">
        <v>4</v>
      </c>
      <c r="E319">
        <v>6</v>
      </c>
      <c r="F319" s="2" t="s">
        <v>1096</v>
      </c>
      <c r="G319" s="2" t="s">
        <v>1097</v>
      </c>
      <c r="H319" s="2" t="s">
        <v>1098</v>
      </c>
      <c r="I319" s="2" t="str">
        <f t="shared" si="18"/>
        <v>1.068</v>
      </c>
      <c r="J319" s="2" t="str">
        <f t="shared" si="19"/>
        <v>30.761</v>
      </c>
      <c r="K319" s="2" t="str">
        <f t="shared" si="19"/>
        <v>0.6161</v>
      </c>
      <c r="L319" s="3">
        <v>8.43</v>
      </c>
      <c r="M319">
        <f>((8.57-L319)/8.57)*100</f>
        <v>1.6336056009334954</v>
      </c>
    </row>
    <row r="320" spans="1:13" x14ac:dyDescent="0.35">
      <c r="A320" s="1" t="s">
        <v>25</v>
      </c>
      <c r="B320" t="str">
        <f t="shared" si="17"/>
        <v>C196</v>
      </c>
      <c r="C320" t="str">
        <f t="shared" si="20"/>
        <v>C</v>
      </c>
      <c r="D320" t="s">
        <v>4</v>
      </c>
      <c r="E320">
        <v>6</v>
      </c>
      <c r="F320" s="2" t="s">
        <v>1099</v>
      </c>
      <c r="G320" s="2" t="s">
        <v>1100</v>
      </c>
      <c r="H320" s="2" t="s">
        <v>1101</v>
      </c>
      <c r="I320" s="2" t="str">
        <f t="shared" si="18"/>
        <v>0.811</v>
      </c>
      <c r="J320" s="2" t="str">
        <f t="shared" si="19"/>
        <v>33.550</v>
      </c>
      <c r="K320" s="2" t="str">
        <f t="shared" si="19"/>
        <v>0.4409</v>
      </c>
      <c r="L320" s="3">
        <v>8.68</v>
      </c>
      <c r="M320">
        <f>((8.79-L320)/8.79)*100</f>
        <v>1.2514220705346921</v>
      </c>
    </row>
    <row r="321" spans="1:13" x14ac:dyDescent="0.35">
      <c r="A321" s="1" t="s">
        <v>26</v>
      </c>
      <c r="B321" t="str">
        <f t="shared" si="17"/>
        <v>C206</v>
      </c>
      <c r="C321" t="str">
        <f t="shared" si="20"/>
        <v>C</v>
      </c>
      <c r="D321" t="s">
        <v>4</v>
      </c>
      <c r="E321">
        <v>6</v>
      </c>
      <c r="F321" s="2" t="s">
        <v>1102</v>
      </c>
      <c r="G321" s="2" t="s">
        <v>1103</v>
      </c>
      <c r="H321" s="2" t="s">
        <v>1104</v>
      </c>
      <c r="I321" s="2" t="str">
        <f t="shared" si="18"/>
        <v>1.117</v>
      </c>
      <c r="J321" s="2" t="str">
        <f t="shared" si="19"/>
        <v>35.353</v>
      </c>
      <c r="K321" s="2" t="str">
        <f t="shared" si="19"/>
        <v>0.5606</v>
      </c>
      <c r="L321" s="3">
        <v>8.43</v>
      </c>
      <c r="M321">
        <f>((8.56-L321)/8.56)*100</f>
        <v>1.5186915887850558</v>
      </c>
    </row>
    <row r="322" spans="1:13" x14ac:dyDescent="0.35">
      <c r="A322" s="1" t="s">
        <v>27</v>
      </c>
      <c r="B322" t="str">
        <f t="shared" si="17"/>
        <v>C216</v>
      </c>
      <c r="C322" t="str">
        <f t="shared" si="20"/>
        <v>C</v>
      </c>
      <c r="D322" t="s">
        <v>4</v>
      </c>
      <c r="E322">
        <v>6</v>
      </c>
      <c r="F322" s="2" t="s">
        <v>1105</v>
      </c>
      <c r="G322" s="2" t="s">
        <v>1106</v>
      </c>
      <c r="H322" s="2" t="s">
        <v>1107</v>
      </c>
      <c r="I322" s="2" t="str">
        <f t="shared" si="18"/>
        <v>0.746</v>
      </c>
      <c r="J322" s="2" t="str">
        <f t="shared" si="19"/>
        <v>35.267</v>
      </c>
      <c r="K322" s="2" t="str">
        <f t="shared" si="19"/>
        <v>0.3744</v>
      </c>
      <c r="L322" s="3">
        <v>11.52</v>
      </c>
      <c r="M322">
        <f>((11.72-L322)/11.72)*100</f>
        <v>1.7064846416382344</v>
      </c>
    </row>
    <row r="323" spans="1:13" x14ac:dyDescent="0.35">
      <c r="A323" s="1" t="s">
        <v>28</v>
      </c>
      <c r="B323" t="str">
        <f t="shared" ref="B323:B386" si="21">CONCATENATE(C323,A323,E323)</f>
        <v>C226</v>
      </c>
      <c r="C323" t="str">
        <f t="shared" si="20"/>
        <v>C</v>
      </c>
      <c r="D323" t="s">
        <v>4</v>
      </c>
      <c r="E323">
        <v>6</v>
      </c>
      <c r="F323" s="2" t="s">
        <v>1108</v>
      </c>
      <c r="G323" s="2" t="s">
        <v>1109</v>
      </c>
      <c r="H323" s="2" t="s">
        <v>1110</v>
      </c>
      <c r="I323" s="2" t="str">
        <f t="shared" ref="I323:I386" si="22">LEFT(F323,5)</f>
        <v>0.962</v>
      </c>
      <c r="J323" s="2" t="str">
        <f t="shared" si="19"/>
        <v>35.216</v>
      </c>
      <c r="K323" s="2" t="str">
        <f t="shared" si="19"/>
        <v>0.4784</v>
      </c>
      <c r="L323" s="3">
        <v>9.99</v>
      </c>
      <c r="M323">
        <f>((10.19-L323)/10.19)*100</f>
        <v>1.9627085377821325</v>
      </c>
    </row>
    <row r="324" spans="1:13" x14ac:dyDescent="0.35">
      <c r="A324" s="1" t="s">
        <v>29</v>
      </c>
      <c r="B324" t="str">
        <f t="shared" si="21"/>
        <v>C236</v>
      </c>
      <c r="C324" t="str">
        <f t="shared" si="20"/>
        <v>C</v>
      </c>
      <c r="D324" t="s">
        <v>4</v>
      </c>
      <c r="E324">
        <v>6</v>
      </c>
      <c r="F324" s="2" t="s">
        <v>1111</v>
      </c>
      <c r="G324" s="2" t="s">
        <v>1112</v>
      </c>
      <c r="H324" s="2" t="s">
        <v>1113</v>
      </c>
      <c r="I324" s="2" t="str">
        <f t="shared" si="22"/>
        <v>1.164</v>
      </c>
      <c r="J324" s="2" t="str">
        <f t="shared" si="19"/>
        <v>35.169</v>
      </c>
      <c r="K324" s="2" t="str">
        <f t="shared" si="19"/>
        <v>0.5858</v>
      </c>
      <c r="L324" s="3">
        <v>6.49</v>
      </c>
      <c r="M324">
        <f>((6.69-L324)/6.69)*100</f>
        <v>2.9895366218236199</v>
      </c>
    </row>
    <row r="325" spans="1:13" x14ac:dyDescent="0.35">
      <c r="A325" s="1" t="s">
        <v>30</v>
      </c>
      <c r="B325" t="str">
        <f t="shared" si="21"/>
        <v>C246</v>
      </c>
      <c r="C325" t="str">
        <f t="shared" si="20"/>
        <v>C</v>
      </c>
      <c r="D325" t="s">
        <v>4</v>
      </c>
      <c r="E325">
        <v>6</v>
      </c>
      <c r="F325" s="2" t="s">
        <v>1114</v>
      </c>
      <c r="G325" s="2" t="s">
        <v>1115</v>
      </c>
      <c r="H325" s="2" t="s">
        <v>1116</v>
      </c>
      <c r="I325" s="2" t="str">
        <f t="shared" si="22"/>
        <v>0.454</v>
      </c>
      <c r="J325" s="2" t="str">
        <f t="shared" ref="J325:K388" si="23">LEFT(G325,6)</f>
        <v>34.428</v>
      </c>
      <c r="K325" s="2" t="str">
        <f t="shared" si="23"/>
        <v>0.2344</v>
      </c>
      <c r="L325" s="3">
        <v>6.66</v>
      </c>
      <c r="M325">
        <f>((6.98-L325)/6.98)*100</f>
        <v>4.5845272206303767</v>
      </c>
    </row>
    <row r="326" spans="1:13" x14ac:dyDescent="0.35">
      <c r="A326" s="1" t="s">
        <v>31</v>
      </c>
      <c r="B326" t="str">
        <f t="shared" si="21"/>
        <v>C256</v>
      </c>
      <c r="C326" t="str">
        <f t="shared" si="20"/>
        <v>C</v>
      </c>
      <c r="D326" t="s">
        <v>4</v>
      </c>
      <c r="E326">
        <v>6</v>
      </c>
      <c r="F326" s="2" t="s">
        <v>1117</v>
      </c>
      <c r="G326" s="2" t="s">
        <v>1118</v>
      </c>
      <c r="H326" s="2" t="s">
        <v>1119</v>
      </c>
      <c r="I326" s="2" t="str">
        <f t="shared" si="22"/>
        <v>0.638</v>
      </c>
      <c r="J326" s="2" t="str">
        <f t="shared" si="23"/>
        <v>30.651</v>
      </c>
      <c r="K326" s="2" t="str">
        <f t="shared" si="23"/>
        <v>0.3710</v>
      </c>
      <c r="L326" s="3">
        <v>11.57</v>
      </c>
      <c r="M326">
        <f>((11.74-L326)/11.74)*100</f>
        <v>1.448040885860306</v>
      </c>
    </row>
    <row r="327" spans="1:13" x14ac:dyDescent="0.35">
      <c r="A327" s="1" t="s">
        <v>32</v>
      </c>
      <c r="B327" t="str">
        <f t="shared" si="21"/>
        <v>C266</v>
      </c>
      <c r="C327" t="str">
        <f t="shared" si="20"/>
        <v>C</v>
      </c>
      <c r="D327" t="s">
        <v>4</v>
      </c>
      <c r="E327">
        <v>6</v>
      </c>
      <c r="F327" s="2" t="s">
        <v>1120</v>
      </c>
      <c r="G327" s="2" t="s">
        <v>1121</v>
      </c>
      <c r="H327" s="2" t="s">
        <v>1122</v>
      </c>
      <c r="I327" s="2" t="str">
        <f t="shared" si="22"/>
        <v>0.517</v>
      </c>
      <c r="J327" s="2" t="str">
        <f t="shared" si="23"/>
        <v>32.438</v>
      </c>
      <c r="K327" s="2" t="str">
        <f t="shared" si="23"/>
        <v>0.2824</v>
      </c>
      <c r="L327" s="3">
        <v>6.65</v>
      </c>
      <c r="M327">
        <f>((6.81-L327)/6.81)*100</f>
        <v>2.3494860499265675</v>
      </c>
    </row>
    <row r="328" spans="1:13" x14ac:dyDescent="0.35">
      <c r="A328" s="1" t="s">
        <v>33</v>
      </c>
      <c r="B328" t="str">
        <f t="shared" si="21"/>
        <v>C276</v>
      </c>
      <c r="C328" t="str">
        <f t="shared" si="20"/>
        <v>C</v>
      </c>
      <c r="D328" t="s">
        <v>4</v>
      </c>
      <c r="E328">
        <v>6</v>
      </c>
      <c r="F328" s="2" t="s">
        <v>1123</v>
      </c>
      <c r="G328" s="2" t="s">
        <v>1124</v>
      </c>
      <c r="H328" s="2" t="s">
        <v>1125</v>
      </c>
      <c r="I328" s="2" t="str">
        <f t="shared" si="22"/>
        <v>1.047</v>
      </c>
      <c r="J328" s="2" t="str">
        <f t="shared" si="23"/>
        <v>30.183</v>
      </c>
      <c r="K328" s="2" t="str">
        <f t="shared" si="23"/>
        <v>0.6170</v>
      </c>
      <c r="L328" s="3">
        <v>13</v>
      </c>
      <c r="M328">
        <f>((13.23-L328)/13.23)*100</f>
        <v>1.7384731670445988</v>
      </c>
    </row>
    <row r="329" spans="1:13" x14ac:dyDescent="0.35">
      <c r="A329" s="1" t="s">
        <v>34</v>
      </c>
      <c r="B329" t="str">
        <f t="shared" si="21"/>
        <v>C286</v>
      </c>
      <c r="C329" t="str">
        <f t="shared" si="20"/>
        <v>C</v>
      </c>
      <c r="D329" t="s">
        <v>4</v>
      </c>
      <c r="E329">
        <v>6</v>
      </c>
      <c r="F329" s="2" t="s">
        <v>1126</v>
      </c>
      <c r="G329" s="2" t="s">
        <v>1127</v>
      </c>
      <c r="H329" s="2" t="s">
        <v>1128</v>
      </c>
      <c r="I329" s="2" t="str">
        <f t="shared" si="22"/>
        <v>0.980</v>
      </c>
      <c r="J329" s="2" t="str">
        <f t="shared" si="23"/>
        <v>33.869</v>
      </c>
      <c r="K329" s="2" t="str">
        <f t="shared" si="23"/>
        <v>0.5126</v>
      </c>
      <c r="L329" s="3">
        <v>10.47</v>
      </c>
      <c r="M329">
        <f>((10.74-L329)/10.74)*100</f>
        <v>2.5139664804469235</v>
      </c>
    </row>
    <row r="330" spans="1:13" x14ac:dyDescent="0.35">
      <c r="A330" s="1" t="s">
        <v>35</v>
      </c>
      <c r="B330" t="str">
        <f t="shared" si="21"/>
        <v>C296</v>
      </c>
      <c r="C330" t="str">
        <f t="shared" si="20"/>
        <v>C</v>
      </c>
      <c r="D330" t="s">
        <v>4</v>
      </c>
      <c r="E330">
        <v>6</v>
      </c>
      <c r="F330" s="2" t="s">
        <v>1129</v>
      </c>
      <c r="G330" s="2" t="s">
        <v>1130</v>
      </c>
      <c r="H330" s="2" t="s">
        <v>1131</v>
      </c>
      <c r="I330" s="2" t="str">
        <f t="shared" si="22"/>
        <v>0.842</v>
      </c>
      <c r="J330" s="2" t="str">
        <f t="shared" si="23"/>
        <v>35.964</v>
      </c>
      <c r="K330" s="2" t="str">
        <f t="shared" si="23"/>
        <v>0.4139</v>
      </c>
      <c r="L330" s="3">
        <v>11.42</v>
      </c>
      <c r="M330">
        <f>((11.59-L330)/11.59)*100</f>
        <v>1.4667817083692831</v>
      </c>
    </row>
    <row r="331" spans="1:13" x14ac:dyDescent="0.35">
      <c r="A331" s="1" t="s">
        <v>36</v>
      </c>
      <c r="B331" t="str">
        <f t="shared" si="21"/>
        <v>C306</v>
      </c>
      <c r="C331" t="str">
        <f t="shared" si="20"/>
        <v>C</v>
      </c>
      <c r="D331" t="s">
        <v>4</v>
      </c>
      <c r="E331">
        <v>6</v>
      </c>
      <c r="F331" s="2" t="s">
        <v>1132</v>
      </c>
      <c r="G331" s="2" t="s">
        <v>1133</v>
      </c>
      <c r="H331" s="2" t="s">
        <v>1134</v>
      </c>
      <c r="I331" s="2" t="str">
        <f t="shared" si="22"/>
        <v>0.942</v>
      </c>
      <c r="J331" s="2" t="str">
        <f t="shared" si="23"/>
        <v>32.075</v>
      </c>
      <c r="K331" s="2" t="str">
        <f t="shared" si="23"/>
        <v>0.5203</v>
      </c>
      <c r="L331" s="3">
        <v>9.15</v>
      </c>
      <c r="M331">
        <f>((9.38-L331)/9.38)*100</f>
        <v>2.4520255863539488</v>
      </c>
    </row>
    <row r="332" spans="1:13" x14ac:dyDescent="0.35">
      <c r="A332" s="1" t="s">
        <v>7</v>
      </c>
      <c r="B332" t="str">
        <f t="shared" si="21"/>
        <v>R016</v>
      </c>
      <c r="C332" t="str">
        <f t="shared" si="20"/>
        <v>R</v>
      </c>
      <c r="D332" t="s">
        <v>5</v>
      </c>
      <c r="E332">
        <v>6</v>
      </c>
      <c r="F332" s="2" t="s">
        <v>442</v>
      </c>
      <c r="G332" s="2" t="s">
        <v>443</v>
      </c>
      <c r="H332" s="2" t="s">
        <v>444</v>
      </c>
      <c r="I332" s="2" t="str">
        <f t="shared" si="22"/>
        <v>0.766</v>
      </c>
      <c r="J332" s="2" t="str">
        <f t="shared" si="23"/>
        <v>30.769</v>
      </c>
      <c r="K332" s="2" t="str">
        <f t="shared" si="23"/>
        <v>0.4427</v>
      </c>
      <c r="L332" s="3">
        <v>9.68</v>
      </c>
      <c r="M332">
        <f>((10.2-L332)/10.2)*100</f>
        <v>5.0980392156862706</v>
      </c>
    </row>
    <row r="333" spans="1:13" x14ac:dyDescent="0.35">
      <c r="A333" s="1" t="s">
        <v>8</v>
      </c>
      <c r="B333" t="str">
        <f t="shared" si="21"/>
        <v>R026</v>
      </c>
      <c r="C333" t="str">
        <f t="shared" si="20"/>
        <v>R</v>
      </c>
      <c r="D333" t="s">
        <v>5</v>
      </c>
      <c r="E333">
        <v>6</v>
      </c>
      <c r="F333" s="2" t="s">
        <v>959</v>
      </c>
      <c r="G333" s="2" t="s">
        <v>960</v>
      </c>
      <c r="H333" s="2" t="s">
        <v>961</v>
      </c>
      <c r="I333" s="2" t="str">
        <f t="shared" si="22"/>
        <v>0.756</v>
      </c>
      <c r="J333" s="2" t="str">
        <f t="shared" si="23"/>
        <v>33.668</v>
      </c>
      <c r="K333" s="2" t="str">
        <f t="shared" si="23"/>
        <v>0.3977</v>
      </c>
      <c r="L333" s="3">
        <v>8.41</v>
      </c>
      <c r="M333">
        <f>((8.9-L333)/8.9)*100</f>
        <v>5.5056179775280922</v>
      </c>
    </row>
    <row r="334" spans="1:13" x14ac:dyDescent="0.35">
      <c r="A334" s="1" t="s">
        <v>21</v>
      </c>
      <c r="B334" t="str">
        <f t="shared" si="21"/>
        <v>R036</v>
      </c>
      <c r="C334" t="str">
        <f t="shared" si="20"/>
        <v>R</v>
      </c>
      <c r="D334" t="s">
        <v>5</v>
      </c>
      <c r="E334">
        <v>6</v>
      </c>
      <c r="F334" s="2" t="s">
        <v>962</v>
      </c>
      <c r="G334" s="2" t="s">
        <v>963</v>
      </c>
      <c r="H334" s="2" t="s">
        <v>964</v>
      </c>
      <c r="I334" s="2" t="str">
        <f t="shared" si="22"/>
        <v>0.722</v>
      </c>
      <c r="J334" s="2" t="str">
        <f t="shared" si="23"/>
        <v>34.411</v>
      </c>
      <c r="K334" s="2" t="str">
        <f t="shared" si="23"/>
        <v>0.3713</v>
      </c>
      <c r="L334" s="3">
        <v>7.36</v>
      </c>
      <c r="M334">
        <f>((7.72-L334)/7.72)*100</f>
        <v>4.6632124352331532</v>
      </c>
    </row>
    <row r="335" spans="1:13" x14ac:dyDescent="0.35">
      <c r="A335" s="1" t="s">
        <v>9</v>
      </c>
      <c r="B335" t="str">
        <f t="shared" si="21"/>
        <v>R046</v>
      </c>
      <c r="C335" t="str">
        <f t="shared" si="20"/>
        <v>R</v>
      </c>
      <c r="D335" t="s">
        <v>5</v>
      </c>
      <c r="E335">
        <v>6</v>
      </c>
      <c r="F335" s="2" t="s">
        <v>965</v>
      </c>
      <c r="G335" s="2" t="s">
        <v>966</v>
      </c>
      <c r="H335" s="2" t="s">
        <v>967</v>
      </c>
      <c r="I335" s="2" t="str">
        <f t="shared" si="22"/>
        <v>0.619</v>
      </c>
      <c r="J335" s="2" t="str">
        <f t="shared" si="23"/>
        <v>29.889</v>
      </c>
      <c r="K335" s="2" t="str">
        <f t="shared" si="23"/>
        <v>0.3684</v>
      </c>
      <c r="L335" s="3">
        <v>6.33</v>
      </c>
      <c r="M335">
        <f>((6.71-L335)/6.71)*100</f>
        <v>5.6631892697466455</v>
      </c>
    </row>
    <row r="336" spans="1:13" x14ac:dyDescent="0.35">
      <c r="A336" s="1" t="s">
        <v>10</v>
      </c>
      <c r="B336" t="str">
        <f t="shared" si="21"/>
        <v>R056</v>
      </c>
      <c r="C336" t="str">
        <f t="shared" si="20"/>
        <v>R</v>
      </c>
      <c r="D336" t="s">
        <v>5</v>
      </c>
      <c r="E336">
        <v>6</v>
      </c>
      <c r="F336" s="2" t="s">
        <v>968</v>
      </c>
      <c r="G336" s="2" t="s">
        <v>969</v>
      </c>
      <c r="H336" s="2" t="s">
        <v>970</v>
      </c>
      <c r="I336" s="2" t="str">
        <f t="shared" si="22"/>
        <v>0.434</v>
      </c>
      <c r="J336" s="2" t="str">
        <f t="shared" si="23"/>
        <v>30.308</v>
      </c>
      <c r="K336" s="2" t="str">
        <f t="shared" si="23"/>
        <v>0.2554</v>
      </c>
      <c r="L336" s="3">
        <v>7.15</v>
      </c>
      <c r="M336">
        <f>((7.58-L336)/7.58)*100</f>
        <v>5.6728232189973573</v>
      </c>
    </row>
    <row r="337" spans="1:13" x14ac:dyDescent="0.35">
      <c r="A337" s="1" t="s">
        <v>11</v>
      </c>
      <c r="B337" t="str">
        <f t="shared" si="21"/>
        <v>R066</v>
      </c>
      <c r="C337" t="str">
        <f t="shared" si="20"/>
        <v>R</v>
      </c>
      <c r="D337" t="s">
        <v>5</v>
      </c>
      <c r="E337">
        <v>6</v>
      </c>
      <c r="F337" s="2" t="s">
        <v>971</v>
      </c>
      <c r="G337" s="2" t="s">
        <v>972</v>
      </c>
      <c r="H337" s="2" t="s">
        <v>973</v>
      </c>
      <c r="I337" s="2" t="str">
        <f t="shared" si="22"/>
        <v>0.477</v>
      </c>
      <c r="J337" s="2" t="str">
        <f t="shared" si="23"/>
        <v>31.782</v>
      </c>
      <c r="K337" s="2" t="str">
        <f t="shared" si="23"/>
        <v>0.2688</v>
      </c>
      <c r="L337" s="3">
        <v>8.02</v>
      </c>
      <c r="M337">
        <f>((8.47-L337)/8.47)*100</f>
        <v>5.3128689492325982</v>
      </c>
    </row>
    <row r="338" spans="1:13" x14ac:dyDescent="0.35">
      <c r="A338" s="1" t="s">
        <v>12</v>
      </c>
      <c r="B338" t="str">
        <f t="shared" si="21"/>
        <v>R076</v>
      </c>
      <c r="C338" t="str">
        <f t="shared" si="20"/>
        <v>R</v>
      </c>
      <c r="D338" t="s">
        <v>5</v>
      </c>
      <c r="E338">
        <v>6</v>
      </c>
      <c r="F338" s="2" t="s">
        <v>974</v>
      </c>
      <c r="G338" s="2" t="s">
        <v>975</v>
      </c>
      <c r="H338" s="2" t="s">
        <v>976</v>
      </c>
      <c r="I338" s="2" t="str">
        <f t="shared" si="22"/>
        <v>0.472</v>
      </c>
      <c r="J338" s="2" t="str">
        <f t="shared" si="23"/>
        <v>26.084</v>
      </c>
      <c r="K338" s="2" t="str">
        <f t="shared" si="23"/>
        <v>0.3242</v>
      </c>
      <c r="L338" s="3">
        <v>9.33</v>
      </c>
      <c r="M338">
        <f>((9.75-L338)/9.75)*100</f>
        <v>4.3076923076923066</v>
      </c>
    </row>
    <row r="339" spans="1:13" x14ac:dyDescent="0.35">
      <c r="A339" s="1" t="s">
        <v>13</v>
      </c>
      <c r="B339" t="str">
        <f t="shared" si="21"/>
        <v>R086</v>
      </c>
      <c r="C339" t="str">
        <f t="shared" si="20"/>
        <v>R</v>
      </c>
      <c r="D339" t="s">
        <v>5</v>
      </c>
      <c r="E339">
        <v>6</v>
      </c>
      <c r="F339" s="2" t="s">
        <v>977</v>
      </c>
      <c r="G339" s="2" t="s">
        <v>978</v>
      </c>
      <c r="H339" s="2" t="s">
        <v>979</v>
      </c>
      <c r="I339" s="2" t="str">
        <f t="shared" si="22"/>
        <v>0.516</v>
      </c>
      <c r="J339" s="2" t="str">
        <f t="shared" si="23"/>
        <v>35.545</v>
      </c>
      <c r="K339" s="2" t="str">
        <f t="shared" si="23"/>
        <v>0.2575</v>
      </c>
      <c r="L339" s="3">
        <v>10.039999999999999</v>
      </c>
      <c r="M339">
        <f>((10.46-L339)/10.46)*100</f>
        <v>4.0152963671128266</v>
      </c>
    </row>
    <row r="340" spans="1:13" x14ac:dyDescent="0.35">
      <c r="A340" s="1" t="s">
        <v>14</v>
      </c>
      <c r="B340" t="str">
        <f t="shared" si="21"/>
        <v>R096</v>
      </c>
      <c r="C340" t="str">
        <f t="shared" si="20"/>
        <v>R</v>
      </c>
      <c r="D340" t="s">
        <v>5</v>
      </c>
      <c r="E340">
        <v>6</v>
      </c>
      <c r="F340" s="2" t="s">
        <v>980</v>
      </c>
      <c r="G340" s="2" t="s">
        <v>981</v>
      </c>
      <c r="H340" s="2" t="s">
        <v>982</v>
      </c>
      <c r="I340" s="2" t="str">
        <f t="shared" si="22"/>
        <v>0.966</v>
      </c>
      <c r="J340" s="2" t="str">
        <f t="shared" si="23"/>
        <v>34.468</v>
      </c>
      <c r="K340" s="2" t="str">
        <f t="shared" si="23"/>
        <v>0.4972</v>
      </c>
      <c r="L340" s="3">
        <v>9.19</v>
      </c>
      <c r="M340">
        <f>((9.52-L340)/9.52)*100</f>
        <v>3.4663865546218497</v>
      </c>
    </row>
    <row r="341" spans="1:13" x14ac:dyDescent="0.35">
      <c r="A341" s="1" t="s">
        <v>15</v>
      </c>
      <c r="B341" t="str">
        <f t="shared" si="21"/>
        <v>R106</v>
      </c>
      <c r="C341" t="str">
        <f t="shared" si="20"/>
        <v>R</v>
      </c>
      <c r="D341" t="s">
        <v>5</v>
      </c>
      <c r="E341">
        <v>6</v>
      </c>
      <c r="F341" s="2" t="s">
        <v>983</v>
      </c>
      <c r="G341" s="2" t="s">
        <v>984</v>
      </c>
      <c r="H341" s="2" t="s">
        <v>985</v>
      </c>
      <c r="I341" s="2" t="str">
        <f t="shared" si="22"/>
        <v>0.571</v>
      </c>
      <c r="J341" s="2" t="str">
        <f t="shared" si="23"/>
        <v>34.168</v>
      </c>
      <c r="K341" s="2" t="str">
        <f t="shared" si="23"/>
        <v>0.2980</v>
      </c>
      <c r="L341" s="3">
        <v>14.12</v>
      </c>
      <c r="M341">
        <f>((14.55-L341)/14.55)*100</f>
        <v>2.9553264604811096</v>
      </c>
    </row>
    <row r="342" spans="1:13" x14ac:dyDescent="0.35">
      <c r="A342" s="1" t="s">
        <v>16</v>
      </c>
      <c r="B342" t="str">
        <f t="shared" si="21"/>
        <v>R116</v>
      </c>
      <c r="C342" t="str">
        <f t="shared" si="20"/>
        <v>R</v>
      </c>
      <c r="D342" t="s">
        <v>5</v>
      </c>
      <c r="E342">
        <v>6</v>
      </c>
      <c r="F342" s="2" t="s">
        <v>986</v>
      </c>
      <c r="G342" s="2" t="s">
        <v>987</v>
      </c>
      <c r="H342" s="2" t="s">
        <v>988</v>
      </c>
      <c r="I342" s="2" t="str">
        <f t="shared" si="22"/>
        <v>0.424</v>
      </c>
      <c r="J342" s="2" t="str">
        <f t="shared" si="23"/>
        <v>33.651</v>
      </c>
      <c r="K342" s="2" t="str">
        <f t="shared" si="23"/>
        <v>0.2237</v>
      </c>
      <c r="L342" s="3">
        <v>8.5500000000000007</v>
      </c>
      <c r="M342">
        <f>((8.99-L342)/8.99)*100</f>
        <v>4.8943270300333648</v>
      </c>
    </row>
    <row r="343" spans="1:13" x14ac:dyDescent="0.35">
      <c r="A343" s="1" t="s">
        <v>17</v>
      </c>
      <c r="B343" t="str">
        <f t="shared" si="21"/>
        <v>R126</v>
      </c>
      <c r="C343" t="str">
        <f t="shared" si="20"/>
        <v>R</v>
      </c>
      <c r="D343" t="s">
        <v>5</v>
      </c>
      <c r="E343">
        <v>6</v>
      </c>
      <c r="F343" s="2" t="s">
        <v>989</v>
      </c>
      <c r="G343" s="2" t="s">
        <v>990</v>
      </c>
      <c r="H343" s="2" t="s">
        <v>991</v>
      </c>
      <c r="I343" s="2" t="str">
        <f t="shared" si="22"/>
        <v>0.648</v>
      </c>
      <c r="J343" s="2" t="str">
        <f t="shared" si="23"/>
        <v>34.366</v>
      </c>
      <c r="K343" s="2" t="str">
        <f t="shared" si="23"/>
        <v>0.3347</v>
      </c>
      <c r="L343" s="3">
        <v>9.1</v>
      </c>
      <c r="M343">
        <f>((9.52-L343)/9.52)*100</f>
        <v>4.4117647058823524</v>
      </c>
    </row>
    <row r="344" spans="1:13" x14ac:dyDescent="0.35">
      <c r="A344" s="1" t="s">
        <v>18</v>
      </c>
      <c r="B344" t="str">
        <f t="shared" si="21"/>
        <v>R136</v>
      </c>
      <c r="C344" t="str">
        <f t="shared" si="20"/>
        <v>R</v>
      </c>
      <c r="D344" t="s">
        <v>5</v>
      </c>
      <c r="E344">
        <v>6</v>
      </c>
      <c r="F344" s="2" t="s">
        <v>992</v>
      </c>
      <c r="G344" s="2" t="s">
        <v>993</v>
      </c>
      <c r="H344" s="2" t="s">
        <v>994</v>
      </c>
      <c r="I344" s="2" t="str">
        <f t="shared" si="22"/>
        <v>0.718</v>
      </c>
      <c r="J344" s="2" t="str">
        <f t="shared" si="23"/>
        <v>33.990</v>
      </c>
      <c r="K344" s="2" t="str">
        <f t="shared" si="23"/>
        <v>0.3766</v>
      </c>
      <c r="L344" s="3">
        <v>10</v>
      </c>
      <c r="M344">
        <f>((10.58-L344)/10.58)*100</f>
        <v>5.4820415879017013</v>
      </c>
    </row>
    <row r="345" spans="1:13" x14ac:dyDescent="0.35">
      <c r="A345" s="1" t="s">
        <v>19</v>
      </c>
      <c r="B345" t="str">
        <f t="shared" si="21"/>
        <v>R146</v>
      </c>
      <c r="C345" t="str">
        <f t="shared" si="20"/>
        <v>R</v>
      </c>
      <c r="D345" t="s">
        <v>5</v>
      </c>
      <c r="E345">
        <v>6</v>
      </c>
      <c r="F345" s="2" t="s">
        <v>995</v>
      </c>
      <c r="G345" s="2" t="s">
        <v>996</v>
      </c>
      <c r="H345" s="2" t="s">
        <v>997</v>
      </c>
      <c r="I345" s="2" t="str">
        <f t="shared" si="22"/>
        <v>0.489</v>
      </c>
      <c r="J345" s="2" t="str">
        <f t="shared" si="23"/>
        <v>35.869</v>
      </c>
      <c r="K345" s="2" t="str">
        <f t="shared" si="23"/>
        <v>0.2429</v>
      </c>
      <c r="L345" s="3">
        <v>10.72</v>
      </c>
      <c r="M345">
        <f>((11.2-L345)/11.2)*100</f>
        <v>4.285714285714274</v>
      </c>
    </row>
    <row r="346" spans="1:13" x14ac:dyDescent="0.35">
      <c r="A346" s="1" t="s">
        <v>20</v>
      </c>
      <c r="B346" t="str">
        <f t="shared" si="21"/>
        <v>R156</v>
      </c>
      <c r="C346" t="str">
        <f t="shared" si="20"/>
        <v>R</v>
      </c>
      <c r="D346" t="s">
        <v>5</v>
      </c>
      <c r="E346">
        <v>6</v>
      </c>
      <c r="F346" s="2" t="s">
        <v>998</v>
      </c>
      <c r="G346" s="2" t="s">
        <v>999</v>
      </c>
      <c r="H346" s="2" t="s">
        <v>1000</v>
      </c>
      <c r="I346" s="2" t="str">
        <f t="shared" si="22"/>
        <v>1.165</v>
      </c>
      <c r="J346" s="2" t="str">
        <f t="shared" si="23"/>
        <v>34.641</v>
      </c>
      <c r="K346" s="2" t="str">
        <f t="shared" si="23"/>
        <v>0.5961</v>
      </c>
      <c r="L346" s="3">
        <v>9.9700000000000006</v>
      </c>
      <c r="M346">
        <f>((10.33-L346)/10.33)*100</f>
        <v>3.4849951597289395</v>
      </c>
    </row>
    <row r="347" spans="1:13" x14ac:dyDescent="0.35">
      <c r="A347" s="1" t="s">
        <v>22</v>
      </c>
      <c r="B347" t="str">
        <f t="shared" si="21"/>
        <v>R166</v>
      </c>
      <c r="C347" t="str">
        <f t="shared" si="20"/>
        <v>R</v>
      </c>
      <c r="D347" t="s">
        <v>5</v>
      </c>
      <c r="E347">
        <v>6</v>
      </c>
      <c r="F347" s="2" t="s">
        <v>1001</v>
      </c>
      <c r="G347" s="2" t="s">
        <v>1002</v>
      </c>
      <c r="H347" s="2" t="s">
        <v>1003</v>
      </c>
      <c r="I347" s="2" t="str">
        <f t="shared" si="22"/>
        <v>0.682</v>
      </c>
      <c r="J347" s="2" t="str">
        <f t="shared" si="23"/>
        <v>34.594</v>
      </c>
      <c r="K347" s="2" t="str">
        <f t="shared" si="23"/>
        <v>0.3494</v>
      </c>
      <c r="L347" s="3">
        <v>7.99</v>
      </c>
      <c r="M347">
        <f>((8.36-L347)/8.36)*100</f>
        <v>4.4258373205741535</v>
      </c>
    </row>
    <row r="348" spans="1:13" x14ac:dyDescent="0.35">
      <c r="A348" s="1" t="s">
        <v>23</v>
      </c>
      <c r="B348" t="str">
        <f t="shared" si="21"/>
        <v>R176</v>
      </c>
      <c r="C348" t="str">
        <f t="shared" si="20"/>
        <v>R</v>
      </c>
      <c r="D348" t="s">
        <v>5</v>
      </c>
      <c r="E348">
        <v>6</v>
      </c>
      <c r="F348" s="2" t="s">
        <v>1004</v>
      </c>
      <c r="G348" s="2" t="s">
        <v>1005</v>
      </c>
      <c r="H348" s="2" t="s">
        <v>1006</v>
      </c>
      <c r="I348" s="2" t="str">
        <f t="shared" si="22"/>
        <v>0.478</v>
      </c>
      <c r="J348" s="2" t="str">
        <f t="shared" si="23"/>
        <v>33.411</v>
      </c>
      <c r="K348" s="2" t="str">
        <f t="shared" si="23"/>
        <v>0.2536</v>
      </c>
      <c r="L348" s="3">
        <v>10.48</v>
      </c>
      <c r="M348">
        <f>((10.97-L348)/10.97)*100</f>
        <v>4.4667274384685518</v>
      </c>
    </row>
    <row r="349" spans="1:13" x14ac:dyDescent="0.35">
      <c r="A349" s="1" t="s">
        <v>24</v>
      </c>
      <c r="B349" t="str">
        <f t="shared" si="21"/>
        <v>R186</v>
      </c>
      <c r="C349" t="str">
        <f t="shared" si="20"/>
        <v>R</v>
      </c>
      <c r="D349" t="s">
        <v>5</v>
      </c>
      <c r="E349">
        <v>6</v>
      </c>
      <c r="F349" s="2" t="s">
        <v>1007</v>
      </c>
      <c r="G349" s="2" t="s">
        <v>1008</v>
      </c>
      <c r="H349" s="2" t="s">
        <v>1009</v>
      </c>
      <c r="I349" s="2" t="str">
        <f t="shared" si="22"/>
        <v>0.917</v>
      </c>
      <c r="J349" s="2" t="str">
        <f t="shared" si="23"/>
        <v>35.080</v>
      </c>
      <c r="K349" s="2" t="str">
        <f t="shared" si="23"/>
        <v>0.4625</v>
      </c>
      <c r="L349" s="3">
        <v>7.66</v>
      </c>
      <c r="M349">
        <f>((8.03-L349)/8.03)*100</f>
        <v>4.6077210460772013</v>
      </c>
    </row>
    <row r="350" spans="1:13" x14ac:dyDescent="0.35">
      <c r="A350" s="1" t="s">
        <v>25</v>
      </c>
      <c r="B350" t="str">
        <f t="shared" si="21"/>
        <v>R196</v>
      </c>
      <c r="C350" t="str">
        <f t="shared" si="20"/>
        <v>R</v>
      </c>
      <c r="D350" t="s">
        <v>5</v>
      </c>
      <c r="E350">
        <v>6</v>
      </c>
      <c r="F350" s="2" t="s">
        <v>1010</v>
      </c>
      <c r="G350" s="2" t="s">
        <v>1011</v>
      </c>
      <c r="H350" s="2" t="s">
        <v>1012</v>
      </c>
      <c r="I350" s="2" t="str">
        <f t="shared" si="22"/>
        <v>0.504</v>
      </c>
      <c r="J350" s="2" t="str">
        <f t="shared" si="23"/>
        <v>33.335</v>
      </c>
      <c r="K350" s="2" t="str">
        <f t="shared" si="23"/>
        <v>0.2714</v>
      </c>
      <c r="L350" s="3">
        <v>8.5</v>
      </c>
      <c r="M350">
        <f>((8.97-L350)/8.97)*100</f>
        <v>5.2396878483835074</v>
      </c>
    </row>
    <row r="351" spans="1:13" x14ac:dyDescent="0.35">
      <c r="A351" s="1" t="s">
        <v>26</v>
      </c>
      <c r="B351" t="str">
        <f t="shared" si="21"/>
        <v>R206</v>
      </c>
      <c r="C351" t="str">
        <f t="shared" si="20"/>
        <v>R</v>
      </c>
      <c r="D351" t="s">
        <v>5</v>
      </c>
      <c r="E351">
        <v>6</v>
      </c>
      <c r="F351" s="2" t="s">
        <v>1013</v>
      </c>
      <c r="G351" s="2" t="s">
        <v>1014</v>
      </c>
      <c r="H351" s="2" t="s">
        <v>1015</v>
      </c>
      <c r="I351" s="2" t="str">
        <f t="shared" si="22"/>
        <v>0.775</v>
      </c>
      <c r="J351" s="2" t="str">
        <f t="shared" si="23"/>
        <v>35.069</v>
      </c>
      <c r="K351" s="2" t="str">
        <f t="shared" si="23"/>
        <v>0.3944</v>
      </c>
      <c r="L351" s="3">
        <v>8.77</v>
      </c>
      <c r="M351">
        <f>((9.17-L351)/9.17)*100</f>
        <v>4.3620501635768854</v>
      </c>
    </row>
    <row r="352" spans="1:13" x14ac:dyDescent="0.35">
      <c r="A352" s="1" t="s">
        <v>27</v>
      </c>
      <c r="B352" t="str">
        <f t="shared" si="21"/>
        <v>R216</v>
      </c>
      <c r="C352" t="str">
        <f t="shared" si="20"/>
        <v>R</v>
      </c>
      <c r="D352" t="s">
        <v>5</v>
      </c>
      <c r="E352">
        <v>6</v>
      </c>
      <c r="F352" s="2" t="s">
        <v>1016</v>
      </c>
      <c r="G352" s="2" t="s">
        <v>1017</v>
      </c>
      <c r="H352" s="2" t="s">
        <v>1018</v>
      </c>
      <c r="I352" s="2" t="str">
        <f t="shared" si="22"/>
        <v>0.596</v>
      </c>
      <c r="J352" s="2" t="str">
        <f t="shared" si="23"/>
        <v>34.547</v>
      </c>
      <c r="K352" s="2" t="str">
        <f t="shared" si="23"/>
        <v>0.3053</v>
      </c>
      <c r="L352" s="3">
        <v>10.58</v>
      </c>
      <c r="M352">
        <f>((11.02-L352)/11.02)*100</f>
        <v>3.9927404718693245</v>
      </c>
    </row>
    <row r="353" spans="1:13" x14ac:dyDescent="0.35">
      <c r="A353" s="1" t="s">
        <v>28</v>
      </c>
      <c r="B353" t="str">
        <f t="shared" si="21"/>
        <v>R226</v>
      </c>
      <c r="C353" t="str">
        <f t="shared" si="20"/>
        <v>R</v>
      </c>
      <c r="D353" t="s">
        <v>5</v>
      </c>
      <c r="E353">
        <v>6</v>
      </c>
      <c r="F353" s="2" t="s">
        <v>1019</v>
      </c>
      <c r="G353" s="2" t="s">
        <v>1020</v>
      </c>
      <c r="H353" s="2" t="s">
        <v>1021</v>
      </c>
      <c r="I353" s="2" t="str">
        <f t="shared" si="22"/>
        <v>0.613</v>
      </c>
      <c r="J353" s="2" t="str">
        <f t="shared" si="23"/>
        <v>34.975</v>
      </c>
      <c r="K353" s="2" t="str">
        <f t="shared" si="23"/>
        <v>0.3114</v>
      </c>
      <c r="L353" s="3">
        <v>10.84</v>
      </c>
      <c r="M353">
        <f>((11.2-L353)/11.2)*100</f>
        <v>3.2142857142857091</v>
      </c>
    </row>
    <row r="354" spans="1:13" x14ac:dyDescent="0.35">
      <c r="A354" s="1" t="s">
        <v>29</v>
      </c>
      <c r="B354" t="str">
        <f t="shared" si="21"/>
        <v>R236</v>
      </c>
      <c r="C354" t="str">
        <f t="shared" si="20"/>
        <v>R</v>
      </c>
      <c r="D354" t="s">
        <v>5</v>
      </c>
      <c r="E354">
        <v>6</v>
      </c>
      <c r="F354" s="2" t="s">
        <v>1022</v>
      </c>
      <c r="G354" s="2" t="s">
        <v>1023</v>
      </c>
      <c r="H354" s="2" t="s">
        <v>1024</v>
      </c>
      <c r="I354" s="2" t="str">
        <f t="shared" si="22"/>
        <v>0.439</v>
      </c>
      <c r="J354" s="2" t="str">
        <f t="shared" si="23"/>
        <v>35.098</v>
      </c>
      <c r="K354" s="2" t="str">
        <f t="shared" si="23"/>
        <v>0.2270</v>
      </c>
      <c r="L354" s="3">
        <v>10</v>
      </c>
      <c r="M354">
        <f>((10.41-L354)/10.41)*100</f>
        <v>3.938520653218061</v>
      </c>
    </row>
    <row r="355" spans="1:13" x14ac:dyDescent="0.35">
      <c r="A355" s="1" t="s">
        <v>30</v>
      </c>
      <c r="B355" t="str">
        <f t="shared" si="21"/>
        <v>R246</v>
      </c>
      <c r="C355" t="str">
        <f t="shared" si="20"/>
        <v>R</v>
      </c>
      <c r="D355" t="s">
        <v>5</v>
      </c>
      <c r="E355">
        <v>6</v>
      </c>
      <c r="F355" s="2" t="s">
        <v>1025</v>
      </c>
      <c r="G355" s="2" t="s">
        <v>1026</v>
      </c>
      <c r="H355" s="2" t="s">
        <v>1027</v>
      </c>
      <c r="I355" s="2" t="str">
        <f t="shared" si="22"/>
        <v>0.962</v>
      </c>
      <c r="J355" s="2" t="str">
        <f t="shared" si="23"/>
        <v>31.892</v>
      </c>
      <c r="K355" s="2" t="str">
        <f t="shared" si="23"/>
        <v>0.5367</v>
      </c>
      <c r="L355" s="3">
        <v>11.42</v>
      </c>
      <c r="M355">
        <f>((11.96-L355)/11.96)*100</f>
        <v>4.5150501672240875</v>
      </c>
    </row>
    <row r="356" spans="1:13" x14ac:dyDescent="0.35">
      <c r="A356" s="1" t="s">
        <v>31</v>
      </c>
      <c r="B356" t="str">
        <f t="shared" si="21"/>
        <v>R256</v>
      </c>
      <c r="C356" t="str">
        <f t="shared" si="20"/>
        <v>R</v>
      </c>
      <c r="D356" t="s">
        <v>5</v>
      </c>
      <c r="E356">
        <v>6</v>
      </c>
      <c r="F356" s="2" t="s">
        <v>1028</v>
      </c>
      <c r="G356" s="2" t="s">
        <v>1029</v>
      </c>
      <c r="H356" s="2" t="s">
        <v>1030</v>
      </c>
      <c r="I356" s="2" t="str">
        <f t="shared" si="22"/>
        <v>0.719</v>
      </c>
      <c r="J356" s="2" t="str">
        <f t="shared" si="23"/>
        <v>33.777</v>
      </c>
      <c r="K356" s="2" t="str">
        <f t="shared" si="23"/>
        <v>0.3785</v>
      </c>
      <c r="L356" s="3">
        <v>11.26</v>
      </c>
      <c r="M356">
        <f>((11.77-L356)/11.77)*100</f>
        <v>4.3330501274426485</v>
      </c>
    </row>
    <row r="357" spans="1:13" x14ac:dyDescent="0.35">
      <c r="A357" s="1" t="s">
        <v>32</v>
      </c>
      <c r="B357" t="str">
        <f t="shared" si="21"/>
        <v>R266</v>
      </c>
      <c r="C357" t="str">
        <f t="shared" si="20"/>
        <v>R</v>
      </c>
      <c r="D357" t="s">
        <v>5</v>
      </c>
      <c r="E357">
        <v>6</v>
      </c>
      <c r="F357" s="2" t="s">
        <v>1031</v>
      </c>
      <c r="G357" s="2" t="s">
        <v>1032</v>
      </c>
      <c r="H357" s="2" t="s">
        <v>1033</v>
      </c>
      <c r="I357" s="2" t="str">
        <f t="shared" si="22"/>
        <v>0.981</v>
      </c>
      <c r="J357" s="2" t="str">
        <f t="shared" si="23"/>
        <v>33.614</v>
      </c>
      <c r="K357" s="2" t="str">
        <f t="shared" si="23"/>
        <v>0.5165</v>
      </c>
      <c r="L357" s="3">
        <v>12.26</v>
      </c>
      <c r="M357">
        <f>((12.72-L357)/12.72)*100</f>
        <v>3.6163522012578686</v>
      </c>
    </row>
    <row r="358" spans="1:13" x14ac:dyDescent="0.35">
      <c r="A358" s="1" t="s">
        <v>33</v>
      </c>
      <c r="B358" t="str">
        <f t="shared" si="21"/>
        <v>R276</v>
      </c>
      <c r="C358" t="str">
        <f t="shared" si="20"/>
        <v>R</v>
      </c>
      <c r="D358" t="s">
        <v>5</v>
      </c>
      <c r="E358">
        <v>6</v>
      </c>
      <c r="F358" s="2" t="s">
        <v>1034</v>
      </c>
      <c r="G358" s="2" t="s">
        <v>1035</v>
      </c>
      <c r="H358" s="2" t="s">
        <v>1036</v>
      </c>
      <c r="I358" s="2" t="str">
        <f t="shared" si="22"/>
        <v>0.917</v>
      </c>
      <c r="J358" s="2" t="str">
        <f t="shared" si="23"/>
        <v>26.169</v>
      </c>
      <c r="K358" s="2" t="str">
        <f t="shared" si="23"/>
        <v>0.6230</v>
      </c>
      <c r="L358" s="3">
        <v>12.53</v>
      </c>
      <c r="M358">
        <f>((13.02-L358)/13.02)*100</f>
        <v>3.7634408602150553</v>
      </c>
    </row>
    <row r="359" spans="1:13" x14ac:dyDescent="0.35">
      <c r="A359" s="1" t="s">
        <v>34</v>
      </c>
      <c r="B359" t="str">
        <f t="shared" si="21"/>
        <v>R286</v>
      </c>
      <c r="C359" t="str">
        <f t="shared" si="20"/>
        <v>R</v>
      </c>
      <c r="D359" t="s">
        <v>5</v>
      </c>
      <c r="E359">
        <v>6</v>
      </c>
      <c r="F359" s="2" t="s">
        <v>1037</v>
      </c>
      <c r="G359" s="2" t="s">
        <v>1038</v>
      </c>
      <c r="H359" s="2" t="s">
        <v>1039</v>
      </c>
      <c r="I359" s="2" t="str">
        <f t="shared" si="22"/>
        <v>1.048</v>
      </c>
      <c r="J359" s="2" t="str">
        <f t="shared" si="23"/>
        <v>33.485</v>
      </c>
      <c r="K359" s="2" t="str">
        <f t="shared" si="23"/>
        <v>0.5559</v>
      </c>
      <c r="L359" s="3">
        <v>9.75</v>
      </c>
      <c r="M359">
        <f>((10.13-L359)/10.13)*100</f>
        <v>3.7512339585390007</v>
      </c>
    </row>
    <row r="360" spans="1:13" x14ac:dyDescent="0.35">
      <c r="A360" s="1" t="s">
        <v>35</v>
      </c>
      <c r="B360" t="str">
        <f t="shared" si="21"/>
        <v>R296</v>
      </c>
      <c r="C360" t="str">
        <f t="shared" si="20"/>
        <v>R</v>
      </c>
      <c r="D360" t="s">
        <v>5</v>
      </c>
      <c r="E360">
        <v>6</v>
      </c>
      <c r="F360" s="2" t="s">
        <v>1040</v>
      </c>
      <c r="G360" s="2" t="s">
        <v>1041</v>
      </c>
      <c r="H360" s="2" t="s">
        <v>1042</v>
      </c>
      <c r="I360" s="2" t="str">
        <f t="shared" si="22"/>
        <v>0.514</v>
      </c>
      <c r="J360" s="2" t="str">
        <f t="shared" si="23"/>
        <v>34.960</v>
      </c>
      <c r="K360" s="2" t="str">
        <f t="shared" si="23"/>
        <v>0.2613</v>
      </c>
      <c r="L360" s="3">
        <v>7.96</v>
      </c>
      <c r="M360">
        <f>((8.49-L360)/8.49)*100</f>
        <v>6.2426383981154325</v>
      </c>
    </row>
    <row r="361" spans="1:13" x14ac:dyDescent="0.35">
      <c r="A361" s="1" t="s">
        <v>36</v>
      </c>
      <c r="B361" t="str">
        <f t="shared" si="21"/>
        <v>R306</v>
      </c>
      <c r="C361" t="str">
        <f t="shared" si="20"/>
        <v>R</v>
      </c>
      <c r="D361" t="s">
        <v>5</v>
      </c>
      <c r="E361">
        <v>6</v>
      </c>
      <c r="F361" s="2" t="s">
        <v>1043</v>
      </c>
      <c r="G361" s="2" t="s">
        <v>1044</v>
      </c>
      <c r="H361" s="2" t="s">
        <v>1045</v>
      </c>
      <c r="I361" s="2" t="str">
        <f t="shared" si="22"/>
        <v>0.510</v>
      </c>
      <c r="J361" s="2" t="str">
        <f t="shared" si="23"/>
        <v>34.457</v>
      </c>
      <c r="K361" s="2" t="str">
        <f t="shared" si="23"/>
        <v>0.2642</v>
      </c>
      <c r="L361" s="3">
        <v>7.35</v>
      </c>
      <c r="M361">
        <f>((7.78-L361)/7.78)*100</f>
        <v>5.5269922879177455</v>
      </c>
    </row>
    <row r="362" spans="1:13" x14ac:dyDescent="0.35">
      <c r="A362" s="1" t="s">
        <v>7</v>
      </c>
      <c r="B362" t="str">
        <f t="shared" si="21"/>
        <v>C017</v>
      </c>
      <c r="C362" t="str">
        <f t="shared" si="20"/>
        <v>C</v>
      </c>
      <c r="D362" t="s">
        <v>4</v>
      </c>
      <c r="E362">
        <v>7</v>
      </c>
      <c r="F362" s="2" t="s">
        <v>1222</v>
      </c>
      <c r="G362" s="2" t="s">
        <v>1223</v>
      </c>
      <c r="H362" s="2" t="s">
        <v>1224</v>
      </c>
      <c r="I362" s="2" t="str">
        <f t="shared" si="22"/>
        <v>0.909</v>
      </c>
      <c r="J362" s="2" t="str">
        <f t="shared" si="23"/>
        <v>32.953</v>
      </c>
      <c r="K362" s="2" t="str">
        <f t="shared" si="23"/>
        <v>0.4973</v>
      </c>
      <c r="L362" s="3">
        <v>10.4</v>
      </c>
      <c r="M362">
        <f>((10.71-L362)/10.71)*100</f>
        <v>2.8944911297852518</v>
      </c>
    </row>
    <row r="363" spans="1:13" x14ac:dyDescent="0.35">
      <c r="A363" s="1" t="s">
        <v>8</v>
      </c>
      <c r="B363" t="str">
        <f t="shared" si="21"/>
        <v>C027</v>
      </c>
      <c r="C363" t="str">
        <f t="shared" si="20"/>
        <v>C</v>
      </c>
      <c r="D363" t="s">
        <v>4</v>
      </c>
      <c r="E363">
        <v>7</v>
      </c>
      <c r="F363" s="2" t="s">
        <v>1225</v>
      </c>
      <c r="G363" s="2" t="s">
        <v>1226</v>
      </c>
      <c r="H363" s="2" t="s">
        <v>1227</v>
      </c>
      <c r="I363" s="2" t="str">
        <f t="shared" si="22"/>
        <v>1.002</v>
      </c>
      <c r="J363" s="2" t="str">
        <f t="shared" si="23"/>
        <v>32.989</v>
      </c>
      <c r="K363" s="2" t="str">
        <f t="shared" si="23"/>
        <v>0.5378</v>
      </c>
      <c r="L363" s="3">
        <v>10.82</v>
      </c>
      <c r="M363">
        <f>((11.03-L363)/11.03)*100</f>
        <v>1.9038984587488583</v>
      </c>
    </row>
    <row r="364" spans="1:13" x14ac:dyDescent="0.35">
      <c r="A364" s="1" t="s">
        <v>21</v>
      </c>
      <c r="B364" t="str">
        <f t="shared" si="21"/>
        <v>C037</v>
      </c>
      <c r="C364" t="str">
        <f t="shared" si="20"/>
        <v>C</v>
      </c>
      <c r="D364" t="s">
        <v>4</v>
      </c>
      <c r="E364">
        <v>7</v>
      </c>
      <c r="F364" s="2" t="s">
        <v>1228</v>
      </c>
      <c r="G364" s="2" t="s">
        <v>1229</v>
      </c>
      <c r="H364" s="2" t="s">
        <v>1230</v>
      </c>
      <c r="I364" s="2" t="str">
        <f t="shared" si="22"/>
        <v>0.497</v>
      </c>
      <c r="J364" s="2" t="str">
        <f t="shared" si="23"/>
        <v>36.545</v>
      </c>
      <c r="K364" s="2" t="str">
        <f t="shared" si="23"/>
        <v>0.2412</v>
      </c>
      <c r="L364" s="3">
        <v>8.74</v>
      </c>
      <c r="M364">
        <f>((8.99-L364)/8.99)*100</f>
        <v>2.7808676307007785</v>
      </c>
    </row>
    <row r="365" spans="1:13" x14ac:dyDescent="0.35">
      <c r="A365" s="1" t="s">
        <v>9</v>
      </c>
      <c r="B365" t="str">
        <f t="shared" si="21"/>
        <v>C047</v>
      </c>
      <c r="C365" t="str">
        <f t="shared" si="20"/>
        <v>C</v>
      </c>
      <c r="D365" t="s">
        <v>4</v>
      </c>
      <c r="E365">
        <v>7</v>
      </c>
      <c r="F365" s="2" t="s">
        <v>1231</v>
      </c>
      <c r="G365" s="2" t="s">
        <v>1232</v>
      </c>
      <c r="H365" s="2" t="s">
        <v>1233</v>
      </c>
      <c r="I365" s="2" t="str">
        <f t="shared" si="22"/>
        <v>0.824</v>
      </c>
      <c r="J365" s="2" t="str">
        <f t="shared" si="23"/>
        <v>35.902</v>
      </c>
      <c r="K365" s="2" t="str">
        <f t="shared" si="23"/>
        <v>0.4061</v>
      </c>
      <c r="L365" s="3">
        <v>12.58</v>
      </c>
      <c r="M365">
        <f>((12.82-L365)/12.82)*100</f>
        <v>1.8720748829953213</v>
      </c>
    </row>
    <row r="366" spans="1:13" x14ac:dyDescent="0.35">
      <c r="A366" s="1" t="s">
        <v>10</v>
      </c>
      <c r="B366" t="str">
        <f t="shared" si="21"/>
        <v>C057</v>
      </c>
      <c r="C366" t="str">
        <f t="shared" si="20"/>
        <v>C</v>
      </c>
      <c r="D366" t="s">
        <v>4</v>
      </c>
      <c r="E366">
        <v>7</v>
      </c>
      <c r="F366" s="2" t="s">
        <v>1234</v>
      </c>
      <c r="G366" s="2" t="s">
        <v>1235</v>
      </c>
      <c r="H366" s="2" t="s">
        <v>1236</v>
      </c>
      <c r="I366" s="2" t="str">
        <f t="shared" si="22"/>
        <v>0.478</v>
      </c>
      <c r="J366" s="2" t="str">
        <f t="shared" si="23"/>
        <v>34.558</v>
      </c>
      <c r="K366" s="2" t="str">
        <f t="shared" si="23"/>
        <v>0.2458</v>
      </c>
      <c r="L366" s="5">
        <v>11</v>
      </c>
      <c r="M366">
        <f>((11.24-L366)/11.24)*100</f>
        <v>2.1352313167259807</v>
      </c>
    </row>
    <row r="367" spans="1:13" x14ac:dyDescent="0.35">
      <c r="A367" s="1" t="s">
        <v>11</v>
      </c>
      <c r="B367" t="str">
        <f t="shared" si="21"/>
        <v>C067</v>
      </c>
      <c r="C367" t="str">
        <f t="shared" si="20"/>
        <v>C</v>
      </c>
      <c r="D367" t="s">
        <v>4</v>
      </c>
      <c r="E367">
        <v>7</v>
      </c>
      <c r="F367" s="2" t="s">
        <v>1237</v>
      </c>
      <c r="G367" s="2" t="s">
        <v>1238</v>
      </c>
      <c r="H367" s="2" t="s">
        <v>1239</v>
      </c>
      <c r="I367" s="2" t="str">
        <f t="shared" si="22"/>
        <v>0.808</v>
      </c>
      <c r="J367" s="2" t="str">
        <f t="shared" si="23"/>
        <v>32.346</v>
      </c>
      <c r="K367" s="2" t="str">
        <f t="shared" si="23"/>
        <v>0.4439</v>
      </c>
      <c r="L367" s="3">
        <v>9.24</v>
      </c>
      <c r="M367">
        <f>((9.49-L367)/9.49)*100</f>
        <v>2.6343519494204428</v>
      </c>
    </row>
    <row r="368" spans="1:13" x14ac:dyDescent="0.35">
      <c r="A368" s="1" t="s">
        <v>12</v>
      </c>
      <c r="B368" t="str">
        <f t="shared" si="21"/>
        <v>C077</v>
      </c>
      <c r="C368" t="str">
        <f t="shared" si="20"/>
        <v>C</v>
      </c>
      <c r="D368" t="s">
        <v>4</v>
      </c>
      <c r="E368">
        <v>7</v>
      </c>
      <c r="F368" s="2" t="s">
        <v>1240</v>
      </c>
      <c r="G368" s="2" t="s">
        <v>1241</v>
      </c>
      <c r="H368" s="2" t="s">
        <v>1242</v>
      </c>
      <c r="I368" s="2" t="str">
        <f t="shared" si="22"/>
        <v>1.150</v>
      </c>
      <c r="J368" s="2" t="str">
        <f t="shared" si="23"/>
        <v>34.365</v>
      </c>
      <c r="K368" s="2" t="str">
        <f t="shared" si="23"/>
        <v>0.5929</v>
      </c>
      <c r="L368" s="3">
        <v>12.01</v>
      </c>
      <c r="M368">
        <f>((12.19-L368)/12.19)*100</f>
        <v>1.4766201804757975</v>
      </c>
    </row>
    <row r="369" spans="1:13" x14ac:dyDescent="0.35">
      <c r="A369" s="1" t="s">
        <v>13</v>
      </c>
      <c r="B369" t="str">
        <f t="shared" si="21"/>
        <v>C087</v>
      </c>
      <c r="C369" t="str">
        <f t="shared" si="20"/>
        <v>C</v>
      </c>
      <c r="D369" t="s">
        <v>4</v>
      </c>
      <c r="E369">
        <v>7</v>
      </c>
      <c r="F369" s="2" t="s">
        <v>1243</v>
      </c>
      <c r="G369" s="2" t="s">
        <v>1244</v>
      </c>
      <c r="H369" s="2" t="s">
        <v>1245</v>
      </c>
      <c r="I369" s="2" t="str">
        <f t="shared" si="22"/>
        <v>0.552</v>
      </c>
      <c r="J369" s="2" t="str">
        <f t="shared" si="23"/>
        <v>33.351</v>
      </c>
      <c r="K369" s="2" t="str">
        <f t="shared" si="23"/>
        <v>0.2955</v>
      </c>
      <c r="L369" s="3">
        <v>8.83</v>
      </c>
      <c r="M369">
        <f>((9.02-L369)/9.02)*100</f>
        <v>2.1064301552106377</v>
      </c>
    </row>
    <row r="370" spans="1:13" x14ac:dyDescent="0.35">
      <c r="A370" s="1" t="s">
        <v>14</v>
      </c>
      <c r="B370" t="str">
        <f t="shared" si="21"/>
        <v>C097</v>
      </c>
      <c r="C370" t="str">
        <f t="shared" si="20"/>
        <v>C</v>
      </c>
      <c r="D370" t="s">
        <v>4</v>
      </c>
      <c r="E370">
        <v>7</v>
      </c>
      <c r="F370" s="2" t="s">
        <v>1246</v>
      </c>
      <c r="G370" s="2" t="s">
        <v>1247</v>
      </c>
      <c r="H370" s="2" t="s">
        <v>1248</v>
      </c>
      <c r="I370" s="2" t="str">
        <f t="shared" si="22"/>
        <v>0.517</v>
      </c>
      <c r="J370" s="2" t="str">
        <f t="shared" si="23"/>
        <v>33.330</v>
      </c>
      <c r="K370" s="2" t="str">
        <f t="shared" si="23"/>
        <v>0.2792</v>
      </c>
      <c r="L370" s="3">
        <v>8.51</v>
      </c>
      <c r="M370">
        <f>((8.66-L370)/8.66)*100</f>
        <v>1.7321016166281795</v>
      </c>
    </row>
    <row r="371" spans="1:13" x14ac:dyDescent="0.35">
      <c r="A371" s="1" t="s">
        <v>15</v>
      </c>
      <c r="B371" t="str">
        <f t="shared" si="21"/>
        <v>C107</v>
      </c>
      <c r="C371" t="str">
        <f t="shared" si="20"/>
        <v>C</v>
      </c>
      <c r="D371" t="s">
        <v>4</v>
      </c>
      <c r="E371">
        <v>7</v>
      </c>
      <c r="F371" s="2" t="s">
        <v>1249</v>
      </c>
      <c r="G371" s="2" t="s">
        <v>1250</v>
      </c>
      <c r="H371" s="2" t="s">
        <v>1251</v>
      </c>
      <c r="I371" s="2" t="str">
        <f t="shared" si="22"/>
        <v>1.140</v>
      </c>
      <c r="J371" s="2" t="str">
        <f t="shared" si="23"/>
        <v>30.898</v>
      </c>
      <c r="K371" s="2" t="str">
        <f t="shared" si="23"/>
        <v>0.6568</v>
      </c>
      <c r="L371" s="3">
        <v>12.57</v>
      </c>
      <c r="M371">
        <f>((12.87-L371)/12.87)*100</f>
        <v>2.3310023310023227</v>
      </c>
    </row>
    <row r="372" spans="1:13" x14ac:dyDescent="0.35">
      <c r="A372" s="1" t="s">
        <v>16</v>
      </c>
      <c r="B372" t="str">
        <f t="shared" si="21"/>
        <v>C117</v>
      </c>
      <c r="C372" t="str">
        <f t="shared" si="20"/>
        <v>C</v>
      </c>
      <c r="D372" t="s">
        <v>4</v>
      </c>
      <c r="E372">
        <v>7</v>
      </c>
      <c r="F372" s="2" t="s">
        <v>1252</v>
      </c>
      <c r="G372" s="2" t="s">
        <v>1253</v>
      </c>
      <c r="H372" s="2" t="s">
        <v>1254</v>
      </c>
      <c r="I372" s="2" t="str">
        <f t="shared" si="22"/>
        <v>0.775</v>
      </c>
      <c r="J372" s="2" t="str">
        <f t="shared" si="23"/>
        <v>35.768</v>
      </c>
      <c r="K372" s="2" t="str">
        <f t="shared" si="23"/>
        <v>0.3828</v>
      </c>
      <c r="L372" s="3">
        <v>7.96</v>
      </c>
      <c r="M372">
        <f>((8.02-L372)/8.02)*100</f>
        <v>0.74812967581046896</v>
      </c>
    </row>
    <row r="373" spans="1:13" x14ac:dyDescent="0.35">
      <c r="A373" s="1" t="s">
        <v>17</v>
      </c>
      <c r="B373" t="str">
        <f t="shared" si="21"/>
        <v>C127</v>
      </c>
      <c r="C373" t="str">
        <f t="shared" si="20"/>
        <v>C</v>
      </c>
      <c r="D373" t="s">
        <v>4</v>
      </c>
      <c r="E373">
        <v>7</v>
      </c>
      <c r="F373" s="2" t="s">
        <v>1255</v>
      </c>
      <c r="G373" s="2" t="s">
        <v>1256</v>
      </c>
      <c r="H373" s="2" t="s">
        <v>1257</v>
      </c>
      <c r="I373" s="2" t="str">
        <f t="shared" si="22"/>
        <v>0.934</v>
      </c>
      <c r="J373" s="2" t="str">
        <f t="shared" si="23"/>
        <v>32.583</v>
      </c>
      <c r="K373" s="2" t="str">
        <f t="shared" si="23"/>
        <v>0.5097</v>
      </c>
      <c r="L373" s="3">
        <v>8.89</v>
      </c>
      <c r="M373">
        <f>((9.02-L373)/9.02)*100</f>
        <v>1.4412416851441132</v>
      </c>
    </row>
    <row r="374" spans="1:13" x14ac:dyDescent="0.35">
      <c r="A374" s="1" t="s">
        <v>18</v>
      </c>
      <c r="B374" t="str">
        <f t="shared" si="21"/>
        <v>C137</v>
      </c>
      <c r="C374" t="str">
        <f t="shared" si="20"/>
        <v>C</v>
      </c>
      <c r="D374" t="s">
        <v>4</v>
      </c>
      <c r="E374">
        <v>7</v>
      </c>
      <c r="F374" s="2" t="s">
        <v>1258</v>
      </c>
      <c r="G374" s="2" t="s">
        <v>1259</v>
      </c>
      <c r="H374" s="2" t="s">
        <v>1260</v>
      </c>
      <c r="I374" s="2" t="str">
        <f t="shared" si="22"/>
        <v>1.270</v>
      </c>
      <c r="J374" s="2" t="str">
        <f t="shared" si="23"/>
        <v>34.398</v>
      </c>
      <c r="K374" s="2" t="str">
        <f t="shared" si="23"/>
        <v>0.6563</v>
      </c>
      <c r="L374" s="3">
        <v>10.4</v>
      </c>
      <c r="M374">
        <f>((10.68-L374)/10.68)*100</f>
        <v>2.6217228464419415</v>
      </c>
    </row>
    <row r="375" spans="1:13" x14ac:dyDescent="0.35">
      <c r="A375" s="1" t="s">
        <v>19</v>
      </c>
      <c r="B375" t="str">
        <f t="shared" si="21"/>
        <v>C147</v>
      </c>
      <c r="C375" t="str">
        <f t="shared" si="20"/>
        <v>C</v>
      </c>
      <c r="D375" t="s">
        <v>4</v>
      </c>
      <c r="E375">
        <v>7</v>
      </c>
      <c r="F375" s="2" t="s">
        <v>1261</v>
      </c>
      <c r="G375" s="2" t="s">
        <v>1262</v>
      </c>
      <c r="H375" s="2" t="s">
        <v>1263</v>
      </c>
      <c r="I375" s="2" t="str">
        <f t="shared" si="22"/>
        <v>0.481</v>
      </c>
      <c r="J375" s="2" t="str">
        <f t="shared" si="23"/>
        <v>36.886</v>
      </c>
      <c r="K375" s="2" t="str">
        <f t="shared" si="23"/>
        <v>0.2312</v>
      </c>
      <c r="L375" s="3">
        <v>9.1300000000000008</v>
      </c>
      <c r="M375">
        <f>((9.31-L375)/9.31)*100</f>
        <v>1.9334049409237348</v>
      </c>
    </row>
    <row r="376" spans="1:13" x14ac:dyDescent="0.35">
      <c r="A376" s="1" t="s">
        <v>20</v>
      </c>
      <c r="B376" t="str">
        <f t="shared" si="21"/>
        <v>C157</v>
      </c>
      <c r="C376" t="str">
        <f t="shared" si="20"/>
        <v>C</v>
      </c>
      <c r="D376" t="s">
        <v>4</v>
      </c>
      <c r="E376">
        <v>7</v>
      </c>
      <c r="F376" s="2" t="s">
        <v>1264</v>
      </c>
      <c r="G376" s="2" t="s">
        <v>1265</v>
      </c>
      <c r="H376" s="2" t="s">
        <v>1266</v>
      </c>
      <c r="I376" s="2" t="str">
        <f t="shared" si="22"/>
        <v>0.896</v>
      </c>
      <c r="J376" s="2" t="str">
        <f t="shared" si="23"/>
        <v>33.194</v>
      </c>
      <c r="K376" s="2" t="str">
        <f t="shared" si="23"/>
        <v>0.4771</v>
      </c>
      <c r="L376" s="3">
        <v>12.73</v>
      </c>
      <c r="M376">
        <f>((12.96-L376)/12.96)*100</f>
        <v>1.7746913580246944</v>
      </c>
    </row>
    <row r="377" spans="1:13" x14ac:dyDescent="0.35">
      <c r="A377" s="1" t="s">
        <v>22</v>
      </c>
      <c r="B377" t="str">
        <f t="shared" si="21"/>
        <v>C167</v>
      </c>
      <c r="C377" t="str">
        <f t="shared" si="20"/>
        <v>C</v>
      </c>
      <c r="D377" t="s">
        <v>4</v>
      </c>
      <c r="E377">
        <v>7</v>
      </c>
      <c r="F377" s="2" t="s">
        <v>1267</v>
      </c>
      <c r="G377" s="2" t="s">
        <v>1268</v>
      </c>
      <c r="H377" s="2" t="s">
        <v>1269</v>
      </c>
      <c r="I377" s="2" t="str">
        <f t="shared" si="22"/>
        <v>0.904</v>
      </c>
      <c r="J377" s="2" t="str">
        <f t="shared" si="23"/>
        <v>34.233</v>
      </c>
      <c r="K377" s="2" t="str">
        <f t="shared" si="23"/>
        <v>0.4635</v>
      </c>
      <c r="L377" s="3">
        <v>12.74</v>
      </c>
      <c r="M377">
        <f>((13.01-L377)/13.01)*100</f>
        <v>2.0753266717909269</v>
      </c>
    </row>
    <row r="378" spans="1:13" x14ac:dyDescent="0.35">
      <c r="A378" s="1" t="s">
        <v>23</v>
      </c>
      <c r="B378" t="str">
        <f t="shared" si="21"/>
        <v>C177</v>
      </c>
      <c r="C378" t="str">
        <f t="shared" si="20"/>
        <v>C</v>
      </c>
      <c r="D378" t="s">
        <v>4</v>
      </c>
      <c r="E378">
        <v>7</v>
      </c>
      <c r="F378" s="2" t="s">
        <v>1270</v>
      </c>
      <c r="G378" s="2" t="s">
        <v>1271</v>
      </c>
      <c r="H378" s="2" t="s">
        <v>1272</v>
      </c>
      <c r="I378" s="2" t="str">
        <f t="shared" si="22"/>
        <v>0.432</v>
      </c>
      <c r="J378" s="2" t="str">
        <f t="shared" si="23"/>
        <v>36.031</v>
      </c>
      <c r="K378" s="2" t="str">
        <f t="shared" si="23"/>
        <v>0.2154</v>
      </c>
      <c r="L378" s="3">
        <v>8.0299999999999994</v>
      </c>
      <c r="M378">
        <f>((8.28-L378)/8.28)*100</f>
        <v>3.0193236714975846</v>
      </c>
    </row>
    <row r="379" spans="1:13" x14ac:dyDescent="0.35">
      <c r="A379" s="1" t="s">
        <v>24</v>
      </c>
      <c r="B379" t="str">
        <f t="shared" si="21"/>
        <v>C187</v>
      </c>
      <c r="C379" t="str">
        <f t="shared" ref="C379:C442" si="24">LEFT(D379,1)</f>
        <v>C</v>
      </c>
      <c r="D379" t="s">
        <v>4</v>
      </c>
      <c r="E379">
        <v>7</v>
      </c>
      <c r="F379" s="2" t="s">
        <v>1273</v>
      </c>
      <c r="G379" s="2" t="s">
        <v>1274</v>
      </c>
      <c r="H379" s="2" t="s">
        <v>1275</v>
      </c>
      <c r="I379" s="2" t="str">
        <f t="shared" si="22"/>
        <v>1.034</v>
      </c>
      <c r="J379" s="2" t="str">
        <f t="shared" si="23"/>
        <v>33.913</v>
      </c>
      <c r="K379" s="2" t="str">
        <f t="shared" si="23"/>
        <v>0.5405</v>
      </c>
      <c r="L379" s="3">
        <v>8.3800000000000008</v>
      </c>
      <c r="M379">
        <f>((8.57-L379)/8.57)*100</f>
        <v>2.2170361726954435</v>
      </c>
    </row>
    <row r="380" spans="1:13" x14ac:dyDescent="0.35">
      <c r="A380" s="1" t="s">
        <v>25</v>
      </c>
      <c r="B380" t="str">
        <f t="shared" si="21"/>
        <v>C197</v>
      </c>
      <c r="C380" t="str">
        <f t="shared" si="24"/>
        <v>C</v>
      </c>
      <c r="D380" t="s">
        <v>4</v>
      </c>
      <c r="E380">
        <v>7</v>
      </c>
      <c r="F380" s="2" t="s">
        <v>1276</v>
      </c>
      <c r="G380" s="2" t="s">
        <v>1277</v>
      </c>
      <c r="H380" s="2" t="s">
        <v>1278</v>
      </c>
      <c r="I380" s="2" t="str">
        <f t="shared" si="22"/>
        <v>0.732</v>
      </c>
      <c r="J380" s="2" t="str">
        <f t="shared" si="23"/>
        <v>33.415</v>
      </c>
      <c r="K380" s="2" t="str">
        <f t="shared" si="23"/>
        <v>0.3940</v>
      </c>
      <c r="L380" s="3">
        <v>8.65</v>
      </c>
      <c r="M380">
        <f>((8.79-L380)/8.79)*100</f>
        <v>1.5927189988623298</v>
      </c>
    </row>
    <row r="381" spans="1:13" x14ac:dyDescent="0.35">
      <c r="A381" s="1" t="s">
        <v>26</v>
      </c>
      <c r="B381" t="str">
        <f t="shared" si="21"/>
        <v>C207</v>
      </c>
      <c r="C381" t="str">
        <f t="shared" si="24"/>
        <v>C</v>
      </c>
      <c r="D381" t="s">
        <v>4</v>
      </c>
      <c r="E381">
        <v>7</v>
      </c>
      <c r="F381" s="2" t="s">
        <v>1279</v>
      </c>
      <c r="G381" s="2" t="s">
        <v>1280</v>
      </c>
      <c r="H381" s="2" t="s">
        <v>1281</v>
      </c>
      <c r="I381" s="2" t="str">
        <f t="shared" si="22"/>
        <v>1.098</v>
      </c>
      <c r="J381" s="2" t="str">
        <f t="shared" si="23"/>
        <v>33.128</v>
      </c>
      <c r="K381" s="2" t="str">
        <f t="shared" si="23"/>
        <v>0.5869</v>
      </c>
      <c r="L381" s="3">
        <v>8.3800000000000008</v>
      </c>
      <c r="M381">
        <f>((8.56-L381)/8.56)*100</f>
        <v>2.1028037383177534</v>
      </c>
    </row>
    <row r="382" spans="1:13" x14ac:dyDescent="0.35">
      <c r="A382" s="1" t="s">
        <v>27</v>
      </c>
      <c r="B382" t="str">
        <f t="shared" si="21"/>
        <v>C217</v>
      </c>
      <c r="C382" t="str">
        <f t="shared" si="24"/>
        <v>C</v>
      </c>
      <c r="D382" t="s">
        <v>4</v>
      </c>
      <c r="E382">
        <v>7</v>
      </c>
      <c r="F382" s="2" t="s">
        <v>1282</v>
      </c>
      <c r="G382" s="2" t="s">
        <v>1283</v>
      </c>
      <c r="H382" s="2" t="s">
        <v>1284</v>
      </c>
      <c r="I382" s="2" t="str">
        <f t="shared" si="22"/>
        <v>0.508</v>
      </c>
      <c r="J382" s="2" t="str">
        <f t="shared" si="23"/>
        <v>37.100</v>
      </c>
      <c r="K382" s="2" t="str">
        <f t="shared" si="23"/>
        <v>0.2429</v>
      </c>
      <c r="L382" s="3">
        <v>11.49</v>
      </c>
      <c r="M382">
        <f>((11.72-L382)/11.72)*100</f>
        <v>1.9624573378839625</v>
      </c>
    </row>
    <row r="383" spans="1:13" x14ac:dyDescent="0.35">
      <c r="A383" s="1" t="s">
        <v>28</v>
      </c>
      <c r="B383" t="str">
        <f t="shared" si="21"/>
        <v>C227</v>
      </c>
      <c r="C383" t="str">
        <f t="shared" si="24"/>
        <v>C</v>
      </c>
      <c r="D383" t="s">
        <v>4</v>
      </c>
      <c r="E383">
        <v>7</v>
      </c>
      <c r="F383" s="2" t="s">
        <v>1285</v>
      </c>
      <c r="G383" s="2" t="s">
        <v>1286</v>
      </c>
      <c r="H383" s="2" t="s">
        <v>1287</v>
      </c>
      <c r="I383" s="2" t="str">
        <f t="shared" si="22"/>
        <v>0.485</v>
      </c>
      <c r="J383" s="2" t="str">
        <f t="shared" si="23"/>
        <v>36.071</v>
      </c>
      <c r="K383" s="2" t="str">
        <f t="shared" si="23"/>
        <v>0.2398</v>
      </c>
      <c r="L383" s="3">
        <v>9.9700000000000006</v>
      </c>
      <c r="M383">
        <f>((10.19-L383)/10.19)*100</f>
        <v>2.1589793915603424</v>
      </c>
    </row>
    <row r="384" spans="1:13" x14ac:dyDescent="0.35">
      <c r="A384" s="1" t="s">
        <v>29</v>
      </c>
      <c r="B384" t="str">
        <f t="shared" si="21"/>
        <v>C237</v>
      </c>
      <c r="C384" t="str">
        <f t="shared" si="24"/>
        <v>C</v>
      </c>
      <c r="D384" t="s">
        <v>4</v>
      </c>
      <c r="E384">
        <v>7</v>
      </c>
      <c r="F384" s="2" t="s">
        <v>1288</v>
      </c>
      <c r="G384" s="2" t="s">
        <v>1289</v>
      </c>
      <c r="H384" s="2" t="s">
        <v>1290</v>
      </c>
      <c r="I384" s="2" t="str">
        <f t="shared" si="22"/>
        <v>1.022</v>
      </c>
      <c r="J384" s="2" t="str">
        <f t="shared" si="23"/>
        <v>36.945</v>
      </c>
      <c r="K384" s="2" t="str">
        <f t="shared" si="23"/>
        <v>0.4901</v>
      </c>
      <c r="L384" s="3">
        <v>6.45</v>
      </c>
      <c r="M384">
        <f>((6.69-L384)/6.69)*100</f>
        <v>3.5874439461883436</v>
      </c>
    </row>
    <row r="385" spans="1:13" x14ac:dyDescent="0.35">
      <c r="A385" s="1" t="s">
        <v>30</v>
      </c>
      <c r="B385" t="str">
        <f t="shared" si="21"/>
        <v>C247</v>
      </c>
      <c r="C385" t="str">
        <f t="shared" si="24"/>
        <v>C</v>
      </c>
      <c r="D385" t="s">
        <v>4</v>
      </c>
      <c r="E385">
        <v>7</v>
      </c>
      <c r="F385" s="2" t="s">
        <v>1291</v>
      </c>
      <c r="G385" s="2" t="s">
        <v>1292</v>
      </c>
      <c r="H385" s="2" t="s">
        <v>1293</v>
      </c>
      <c r="I385" s="2" t="str">
        <f t="shared" si="22"/>
        <v>0.478</v>
      </c>
      <c r="J385" s="2" t="str">
        <f t="shared" si="23"/>
        <v>36.748</v>
      </c>
      <c r="K385" s="2" t="str">
        <f t="shared" si="23"/>
        <v>0.2320</v>
      </c>
      <c r="L385" s="3">
        <v>6.62</v>
      </c>
      <c r="M385">
        <f>((6.98-L385)/6.98)*100</f>
        <v>5.157593123209173</v>
      </c>
    </row>
    <row r="386" spans="1:13" x14ac:dyDescent="0.35">
      <c r="A386" s="1" t="s">
        <v>31</v>
      </c>
      <c r="B386" t="str">
        <f t="shared" si="21"/>
        <v>C257</v>
      </c>
      <c r="C386" t="str">
        <f t="shared" si="24"/>
        <v>C</v>
      </c>
      <c r="D386" t="s">
        <v>4</v>
      </c>
      <c r="E386">
        <v>7</v>
      </c>
      <c r="F386" s="2" t="s">
        <v>1294</v>
      </c>
      <c r="G386" s="2" t="s">
        <v>1295</v>
      </c>
      <c r="H386" s="2" t="s">
        <v>1296</v>
      </c>
      <c r="I386" s="2" t="str">
        <f t="shared" si="22"/>
        <v>0.697</v>
      </c>
      <c r="J386" s="2" t="str">
        <f t="shared" si="23"/>
        <v>38.593</v>
      </c>
      <c r="K386" s="2" t="str">
        <f t="shared" si="23"/>
        <v>0.3194</v>
      </c>
      <c r="L386" s="3">
        <v>11.55</v>
      </c>
      <c r="M386">
        <f>((11.74-L386)/11.74)*100</f>
        <v>1.6183986371379855</v>
      </c>
    </row>
    <row r="387" spans="1:13" x14ac:dyDescent="0.35">
      <c r="A387" s="1" t="s">
        <v>32</v>
      </c>
      <c r="B387" t="str">
        <f t="shared" ref="B387:B450" si="25">CONCATENATE(C387,A387,E387)</f>
        <v>C267</v>
      </c>
      <c r="C387" t="str">
        <f t="shared" si="24"/>
        <v>C</v>
      </c>
      <c r="D387" t="s">
        <v>4</v>
      </c>
      <c r="E387">
        <v>7</v>
      </c>
      <c r="F387" s="2" t="s">
        <v>1297</v>
      </c>
      <c r="G387" s="2" t="s">
        <v>1298</v>
      </c>
      <c r="H387" s="2" t="s">
        <v>1299</v>
      </c>
      <c r="I387" s="2" t="str">
        <f t="shared" ref="I387:I450" si="26">LEFT(F387,5)</f>
        <v>0.444</v>
      </c>
      <c r="J387" s="2" t="str">
        <f t="shared" si="23"/>
        <v>32.006</v>
      </c>
      <c r="K387" s="2" t="str">
        <f t="shared" si="23"/>
        <v>0.2476</v>
      </c>
      <c r="L387" s="3">
        <v>6.63</v>
      </c>
      <c r="M387">
        <f>((6.81-L387)/6.81)*100</f>
        <v>2.643171806167397</v>
      </c>
    </row>
    <row r="388" spans="1:13" x14ac:dyDescent="0.35">
      <c r="A388" s="1" t="s">
        <v>33</v>
      </c>
      <c r="B388" t="str">
        <f t="shared" si="25"/>
        <v>C277</v>
      </c>
      <c r="C388" t="str">
        <f t="shared" si="24"/>
        <v>C</v>
      </c>
      <c r="D388" t="s">
        <v>4</v>
      </c>
      <c r="E388">
        <v>7</v>
      </c>
      <c r="F388" s="2" t="s">
        <v>1300</v>
      </c>
      <c r="G388" s="2" t="s">
        <v>1301</v>
      </c>
      <c r="H388" s="2" t="s">
        <v>1302</v>
      </c>
      <c r="I388" s="2" t="str">
        <f t="shared" si="26"/>
        <v>0.695</v>
      </c>
      <c r="J388" s="2" t="str">
        <f t="shared" si="23"/>
        <v>34.645</v>
      </c>
      <c r="K388" s="2" t="str">
        <f t="shared" si="23"/>
        <v>0.3565</v>
      </c>
      <c r="L388" s="3">
        <v>13</v>
      </c>
      <c r="M388">
        <f>((13.23-L388)/13.23)*100</f>
        <v>1.7384731670445988</v>
      </c>
    </row>
    <row r="389" spans="1:13" x14ac:dyDescent="0.35">
      <c r="A389" s="1" t="s">
        <v>34</v>
      </c>
      <c r="B389" t="str">
        <f t="shared" si="25"/>
        <v>C287</v>
      </c>
      <c r="C389" t="str">
        <f t="shared" si="24"/>
        <v>C</v>
      </c>
      <c r="D389" t="s">
        <v>4</v>
      </c>
      <c r="E389">
        <v>7</v>
      </c>
      <c r="F389" s="2" t="s">
        <v>1303</v>
      </c>
      <c r="G389" s="2" t="s">
        <v>1304</v>
      </c>
      <c r="H389" s="2" t="s">
        <v>1305</v>
      </c>
      <c r="I389" s="2" t="str">
        <f t="shared" si="26"/>
        <v>0.962</v>
      </c>
      <c r="J389" s="2" t="str">
        <f t="shared" ref="J389:K452" si="27">LEFT(G389,6)</f>
        <v>36.589</v>
      </c>
      <c r="K389" s="2" t="str">
        <f t="shared" si="27"/>
        <v>0.4694</v>
      </c>
      <c r="L389" s="3">
        <v>10.44</v>
      </c>
      <c r="M389">
        <f>((10.74-L389)/10.74)*100</f>
        <v>2.7932960893854815</v>
      </c>
    </row>
    <row r="390" spans="1:13" x14ac:dyDescent="0.35">
      <c r="A390" s="1" t="s">
        <v>35</v>
      </c>
      <c r="B390" t="str">
        <f t="shared" si="25"/>
        <v>C297</v>
      </c>
      <c r="C390" t="str">
        <f t="shared" si="24"/>
        <v>C</v>
      </c>
      <c r="D390" t="s">
        <v>4</v>
      </c>
      <c r="E390">
        <v>7</v>
      </c>
      <c r="F390" s="2" t="s">
        <v>1306</v>
      </c>
      <c r="G390" s="2" t="s">
        <v>1307</v>
      </c>
      <c r="H390" s="2" t="s">
        <v>1308</v>
      </c>
      <c r="I390" s="2" t="str">
        <f t="shared" si="26"/>
        <v>1.071</v>
      </c>
      <c r="J390" s="2" t="str">
        <f t="shared" si="27"/>
        <v>33.986</v>
      </c>
      <c r="K390" s="2" t="str">
        <f t="shared" si="27"/>
        <v>0.5581</v>
      </c>
      <c r="L390" s="3">
        <v>11.39</v>
      </c>
      <c r="M390">
        <f>((11.59-L390)/11.59)*100</f>
        <v>1.7256255392579749</v>
      </c>
    </row>
    <row r="391" spans="1:13" x14ac:dyDescent="0.35">
      <c r="A391" s="1" t="s">
        <v>36</v>
      </c>
      <c r="B391" t="str">
        <f t="shared" si="25"/>
        <v>C307</v>
      </c>
      <c r="C391" t="str">
        <f t="shared" si="24"/>
        <v>C</v>
      </c>
      <c r="D391" t="s">
        <v>4</v>
      </c>
      <c r="E391">
        <v>7</v>
      </c>
      <c r="F391" s="2" t="s">
        <v>1309</v>
      </c>
      <c r="G391" s="2" t="s">
        <v>1310</v>
      </c>
      <c r="H391" s="2" t="s">
        <v>1311</v>
      </c>
      <c r="I391" s="2" t="str">
        <f t="shared" si="26"/>
        <v>1.025</v>
      </c>
      <c r="J391" s="2" t="str">
        <f t="shared" si="27"/>
        <v>36.585</v>
      </c>
      <c r="K391" s="2" t="str">
        <f t="shared" si="27"/>
        <v>0.4970</v>
      </c>
      <c r="L391" s="3">
        <v>9.1199999999999992</v>
      </c>
      <c r="M391">
        <f>((9.38-L391)/9.38)*100</f>
        <v>2.7718550106609974</v>
      </c>
    </row>
    <row r="392" spans="1:13" x14ac:dyDescent="0.35">
      <c r="A392" s="1" t="s">
        <v>7</v>
      </c>
      <c r="B392" t="str">
        <f t="shared" si="25"/>
        <v>R017</v>
      </c>
      <c r="C392" t="str">
        <f t="shared" si="24"/>
        <v>R</v>
      </c>
      <c r="D392" t="s">
        <v>5</v>
      </c>
      <c r="E392">
        <v>7</v>
      </c>
      <c r="F392" s="2" t="s">
        <v>445</v>
      </c>
      <c r="G392" s="2" t="s">
        <v>446</v>
      </c>
      <c r="H392" s="2" t="s">
        <v>447</v>
      </c>
      <c r="I392" s="2" t="str">
        <f t="shared" si="26"/>
        <v>0.782</v>
      </c>
      <c r="J392" s="2" t="str">
        <f t="shared" si="27"/>
        <v>34.101</v>
      </c>
      <c r="K392" s="2" t="str">
        <f t="shared" si="27"/>
        <v>0.4071</v>
      </c>
      <c r="L392" s="3">
        <v>9.61</v>
      </c>
      <c r="M392">
        <f>((10.2-L392)/10.2)*100</f>
        <v>5.7843137254901951</v>
      </c>
    </row>
    <row r="393" spans="1:13" x14ac:dyDescent="0.35">
      <c r="A393" s="1" t="s">
        <v>8</v>
      </c>
      <c r="B393" t="str">
        <f t="shared" si="25"/>
        <v>R027</v>
      </c>
      <c r="C393" t="str">
        <f t="shared" si="24"/>
        <v>R</v>
      </c>
      <c r="D393" t="s">
        <v>5</v>
      </c>
      <c r="E393">
        <v>7</v>
      </c>
      <c r="F393" s="2" t="s">
        <v>1135</v>
      </c>
      <c r="G393" s="2" t="s">
        <v>1136</v>
      </c>
      <c r="H393" s="2" t="s">
        <v>1137</v>
      </c>
      <c r="I393" s="2" t="str">
        <f t="shared" si="26"/>
        <v>0.808</v>
      </c>
      <c r="J393" s="2" t="str">
        <f t="shared" si="27"/>
        <v>33.319</v>
      </c>
      <c r="K393" s="2" t="str">
        <f t="shared" si="27"/>
        <v>0.4306</v>
      </c>
      <c r="L393" s="3">
        <v>8.39</v>
      </c>
      <c r="M393">
        <f>((8.9-L393)/8.9)*100</f>
        <v>5.730337078651683</v>
      </c>
    </row>
    <row r="394" spans="1:13" x14ac:dyDescent="0.35">
      <c r="A394" s="1" t="s">
        <v>21</v>
      </c>
      <c r="B394" t="str">
        <f t="shared" si="25"/>
        <v>R037</v>
      </c>
      <c r="C394" t="str">
        <f t="shared" si="24"/>
        <v>R</v>
      </c>
      <c r="D394" t="s">
        <v>5</v>
      </c>
      <c r="E394">
        <v>7</v>
      </c>
      <c r="F394" s="2" t="s">
        <v>1138</v>
      </c>
      <c r="G394" s="2" t="s">
        <v>1139</v>
      </c>
      <c r="H394" s="2" t="s">
        <v>1140</v>
      </c>
      <c r="I394" s="2" t="str">
        <f t="shared" si="26"/>
        <v>0.647</v>
      </c>
      <c r="J394" s="2" t="str">
        <f t="shared" si="27"/>
        <v>29.621</v>
      </c>
      <c r="K394" s="2" t="str">
        <f t="shared" si="27"/>
        <v>0.3881</v>
      </c>
      <c r="L394" s="3">
        <v>7.27</v>
      </c>
      <c r="M394">
        <f>((7.72-L394)/7.72)*100</f>
        <v>5.8290155440414537</v>
      </c>
    </row>
    <row r="395" spans="1:13" x14ac:dyDescent="0.35">
      <c r="A395" s="1" t="s">
        <v>9</v>
      </c>
      <c r="B395" t="str">
        <f t="shared" si="25"/>
        <v>R047</v>
      </c>
      <c r="C395" t="str">
        <f t="shared" si="24"/>
        <v>R</v>
      </c>
      <c r="D395" t="s">
        <v>5</v>
      </c>
      <c r="E395">
        <v>7</v>
      </c>
      <c r="F395" s="2" t="s">
        <v>1141</v>
      </c>
      <c r="G395" s="2" t="s">
        <v>1142</v>
      </c>
      <c r="H395" s="2" t="s">
        <v>1143</v>
      </c>
      <c r="I395" s="2" t="str">
        <f t="shared" si="26"/>
        <v>0.768</v>
      </c>
      <c r="J395" s="2" t="str">
        <f t="shared" si="27"/>
        <v>36.170</v>
      </c>
      <c r="K395" s="2" t="str">
        <f t="shared" si="27"/>
        <v>0.3766</v>
      </c>
      <c r="L395" s="3">
        <v>6.25</v>
      </c>
      <c r="M395">
        <f>((6.71-L395)/6.71)*100</f>
        <v>6.855439642324888</v>
      </c>
    </row>
    <row r="396" spans="1:13" x14ac:dyDescent="0.35">
      <c r="A396" s="1" t="s">
        <v>10</v>
      </c>
      <c r="B396" t="str">
        <f t="shared" si="25"/>
        <v>R057</v>
      </c>
      <c r="C396" t="str">
        <f t="shared" si="24"/>
        <v>R</v>
      </c>
      <c r="D396" t="s">
        <v>5</v>
      </c>
      <c r="E396">
        <v>7</v>
      </c>
      <c r="F396" s="2" t="s">
        <v>1144</v>
      </c>
      <c r="G396" s="2" t="s">
        <v>1145</v>
      </c>
      <c r="H396" s="2" t="s">
        <v>1146</v>
      </c>
      <c r="I396" s="2" t="str">
        <f t="shared" si="26"/>
        <v>0.403</v>
      </c>
      <c r="J396" s="2" t="str">
        <f t="shared" si="27"/>
        <v>34.087</v>
      </c>
      <c r="K396" s="2" t="str">
        <f t="shared" si="27"/>
        <v>0.2096</v>
      </c>
      <c r="L396" s="3">
        <v>7.02</v>
      </c>
      <c r="M396">
        <f>((7.58-L396)/7.58)*100</f>
        <v>7.3878627968337804</v>
      </c>
    </row>
    <row r="397" spans="1:13" x14ac:dyDescent="0.35">
      <c r="A397" s="1" t="s">
        <v>11</v>
      </c>
      <c r="B397" t="str">
        <f t="shared" si="25"/>
        <v>R067</v>
      </c>
      <c r="C397" t="str">
        <f t="shared" si="24"/>
        <v>R</v>
      </c>
      <c r="D397" t="s">
        <v>5</v>
      </c>
      <c r="E397">
        <v>7</v>
      </c>
      <c r="F397" s="2" t="s">
        <v>1147</v>
      </c>
      <c r="G397" s="2" t="s">
        <v>1148</v>
      </c>
      <c r="H397" s="2" t="s">
        <v>1149</v>
      </c>
      <c r="I397" s="2" t="str">
        <f t="shared" si="26"/>
        <v>0.476</v>
      </c>
      <c r="J397" s="2" t="str">
        <f t="shared" si="27"/>
        <v>33.892</v>
      </c>
      <c r="K397" s="2" t="str">
        <f t="shared" si="27"/>
        <v>0.2491</v>
      </c>
      <c r="L397" s="3">
        <v>7.99</v>
      </c>
      <c r="M397">
        <f>((8.47-L397)/8.47)*100</f>
        <v>5.6670602125147624</v>
      </c>
    </row>
    <row r="398" spans="1:13" x14ac:dyDescent="0.35">
      <c r="A398" s="1" t="s">
        <v>12</v>
      </c>
      <c r="B398" t="str">
        <f t="shared" si="25"/>
        <v>R077</v>
      </c>
      <c r="C398" t="str">
        <f t="shared" si="24"/>
        <v>R</v>
      </c>
      <c r="D398" t="s">
        <v>5</v>
      </c>
      <c r="E398">
        <v>7</v>
      </c>
      <c r="F398" s="2" t="s">
        <v>1150</v>
      </c>
      <c r="G398" s="2" t="s">
        <v>1151</v>
      </c>
      <c r="H398" s="2" t="s">
        <v>1152</v>
      </c>
      <c r="I398" s="2" t="str">
        <f t="shared" si="26"/>
        <v>0.725</v>
      </c>
      <c r="J398" s="2" t="str">
        <f t="shared" si="27"/>
        <v>34.076</v>
      </c>
      <c r="K398" s="2" t="str">
        <f t="shared" si="27"/>
        <v>0.3716</v>
      </c>
      <c r="L398" s="3">
        <v>9.24</v>
      </c>
      <c r="M398">
        <f>((9.75-L398)/9.75)*100</f>
        <v>5.2307692307692282</v>
      </c>
    </row>
    <row r="399" spans="1:13" x14ac:dyDescent="0.35">
      <c r="A399" s="1" t="s">
        <v>13</v>
      </c>
      <c r="B399" t="str">
        <f t="shared" si="25"/>
        <v>R087</v>
      </c>
      <c r="C399" t="str">
        <f t="shared" si="24"/>
        <v>R</v>
      </c>
      <c r="D399" t="s">
        <v>5</v>
      </c>
      <c r="E399">
        <v>7</v>
      </c>
      <c r="F399" s="2" t="s">
        <v>1153</v>
      </c>
      <c r="G399" s="2" t="s">
        <v>1154</v>
      </c>
      <c r="H399" s="2" t="s">
        <v>1155</v>
      </c>
      <c r="I399" s="2" t="str">
        <f t="shared" si="26"/>
        <v>0.555</v>
      </c>
      <c r="J399" s="2" t="str">
        <f t="shared" si="27"/>
        <v>27.497</v>
      </c>
      <c r="K399" s="2" t="str">
        <f t="shared" si="27"/>
        <v>0.3617</v>
      </c>
      <c r="L399" s="3">
        <v>10</v>
      </c>
      <c r="M399">
        <f>((10.46-L399)/10.46)*100</f>
        <v>4.3977055449330864</v>
      </c>
    </row>
    <row r="400" spans="1:13" x14ac:dyDescent="0.35">
      <c r="A400" s="1" t="s">
        <v>14</v>
      </c>
      <c r="B400" t="str">
        <f t="shared" si="25"/>
        <v>R097</v>
      </c>
      <c r="C400" t="str">
        <f t="shared" si="24"/>
        <v>R</v>
      </c>
      <c r="D400" t="s">
        <v>5</v>
      </c>
      <c r="E400">
        <v>7</v>
      </c>
      <c r="F400" s="2" t="s">
        <v>1156</v>
      </c>
      <c r="G400" s="2" t="s">
        <v>1157</v>
      </c>
      <c r="H400" s="2" t="s">
        <v>1158</v>
      </c>
      <c r="I400" s="2" t="str">
        <f t="shared" si="26"/>
        <v>0.671</v>
      </c>
      <c r="J400" s="2" t="str">
        <f t="shared" si="27"/>
        <v>32.161</v>
      </c>
      <c r="K400" s="2" t="str">
        <f t="shared" si="27"/>
        <v>0.3696</v>
      </c>
      <c r="L400" s="3">
        <v>9.1199999999999992</v>
      </c>
      <c r="M400">
        <f>((9.52-L400)/9.52)*100</f>
        <v>4.2016806722689113</v>
      </c>
    </row>
    <row r="401" spans="1:13" x14ac:dyDescent="0.35">
      <c r="A401" s="1" t="s">
        <v>15</v>
      </c>
      <c r="B401" t="str">
        <f t="shared" si="25"/>
        <v>R107</v>
      </c>
      <c r="C401" t="str">
        <f t="shared" si="24"/>
        <v>R</v>
      </c>
      <c r="D401" t="s">
        <v>5</v>
      </c>
      <c r="E401">
        <v>7</v>
      </c>
      <c r="F401" s="2" t="s">
        <v>1159</v>
      </c>
      <c r="G401" s="2" t="s">
        <v>1160</v>
      </c>
      <c r="H401" s="2" t="s">
        <v>1161</v>
      </c>
      <c r="I401" s="2" t="str">
        <f t="shared" si="26"/>
        <v>0.555</v>
      </c>
      <c r="J401" s="2" t="str">
        <f t="shared" si="27"/>
        <v>32.659</v>
      </c>
      <c r="K401" s="2" t="str">
        <f t="shared" si="27"/>
        <v>0.3041</v>
      </c>
      <c r="L401" s="3">
        <v>14</v>
      </c>
      <c r="M401">
        <f>((14.55-L401)/14.55)*100</f>
        <v>3.7800687285223415</v>
      </c>
    </row>
    <row r="402" spans="1:13" x14ac:dyDescent="0.35">
      <c r="A402" s="1" t="s">
        <v>16</v>
      </c>
      <c r="B402" t="str">
        <f t="shared" si="25"/>
        <v>R117</v>
      </c>
      <c r="C402" t="str">
        <f t="shared" si="24"/>
        <v>R</v>
      </c>
      <c r="D402" t="s">
        <v>5</v>
      </c>
      <c r="E402">
        <v>7</v>
      </c>
      <c r="F402" s="2" t="s">
        <v>1162</v>
      </c>
      <c r="G402" s="2" t="s">
        <v>1163</v>
      </c>
      <c r="H402" s="2" t="s">
        <v>1164</v>
      </c>
      <c r="I402" s="2" t="str">
        <f t="shared" si="26"/>
        <v>0.426</v>
      </c>
      <c r="J402" s="2" t="str">
        <f t="shared" si="27"/>
        <v>31.724</v>
      </c>
      <c r="K402" s="2" t="str">
        <f t="shared" si="27"/>
        <v>0.2393</v>
      </c>
      <c r="L402" s="3">
        <v>8.4499999999999993</v>
      </c>
      <c r="M402">
        <f>((8.99-L402)/8.99)*100</f>
        <v>6.0066740823136922</v>
      </c>
    </row>
    <row r="403" spans="1:13" x14ac:dyDescent="0.35">
      <c r="A403" s="1" t="s">
        <v>17</v>
      </c>
      <c r="B403" t="str">
        <f t="shared" si="25"/>
        <v>R127</v>
      </c>
      <c r="C403" t="str">
        <f t="shared" si="24"/>
        <v>R</v>
      </c>
      <c r="D403" t="s">
        <v>5</v>
      </c>
      <c r="E403">
        <v>7</v>
      </c>
      <c r="F403" s="2" t="s">
        <v>1165</v>
      </c>
      <c r="G403" s="2" t="s">
        <v>1166</v>
      </c>
      <c r="H403" s="2" t="s">
        <v>1167</v>
      </c>
      <c r="I403" s="2" t="str">
        <f t="shared" si="26"/>
        <v>0.709</v>
      </c>
      <c r="J403" s="2" t="str">
        <f t="shared" si="27"/>
        <v>33.652</v>
      </c>
      <c r="K403" s="2" t="str">
        <f t="shared" si="27"/>
        <v>0.3735</v>
      </c>
      <c r="L403" s="3">
        <v>9</v>
      </c>
      <c r="M403">
        <f>((9.52-L403)/9.52)*100</f>
        <v>5.4621848739495755</v>
      </c>
    </row>
    <row r="404" spans="1:13" x14ac:dyDescent="0.35">
      <c r="A404" s="1" t="s">
        <v>18</v>
      </c>
      <c r="B404" t="str">
        <f t="shared" si="25"/>
        <v>R137</v>
      </c>
      <c r="C404" t="str">
        <f t="shared" si="24"/>
        <v>R</v>
      </c>
      <c r="D404" t="s">
        <v>5</v>
      </c>
      <c r="E404">
        <v>7</v>
      </c>
      <c r="F404" s="2" t="s">
        <v>1168</v>
      </c>
      <c r="G404" s="2" t="s">
        <v>1169</v>
      </c>
      <c r="H404" s="2" t="s">
        <v>1170</v>
      </c>
      <c r="I404" s="2" t="str">
        <f t="shared" si="26"/>
        <v>0.524</v>
      </c>
      <c r="J404" s="2" t="str">
        <f t="shared" si="27"/>
        <v>36.018</v>
      </c>
      <c r="K404" s="2" t="str">
        <f t="shared" si="27"/>
        <v>0.2582</v>
      </c>
      <c r="L404" s="3">
        <v>9.8699999999999992</v>
      </c>
      <c r="M404">
        <f>((10.58-L404)/10.58)*100</f>
        <v>6.7107750472589878</v>
      </c>
    </row>
    <row r="405" spans="1:13" x14ac:dyDescent="0.35">
      <c r="A405" s="1" t="s">
        <v>19</v>
      </c>
      <c r="B405" t="str">
        <f t="shared" si="25"/>
        <v>R147</v>
      </c>
      <c r="C405" t="str">
        <f t="shared" si="24"/>
        <v>R</v>
      </c>
      <c r="D405" t="s">
        <v>5</v>
      </c>
      <c r="E405">
        <v>7</v>
      </c>
      <c r="F405" s="2" t="s">
        <v>1171</v>
      </c>
      <c r="G405" s="2" t="s">
        <v>1172</v>
      </c>
      <c r="H405" s="2" t="s">
        <v>1173</v>
      </c>
      <c r="I405" s="2" t="str">
        <f t="shared" si="26"/>
        <v>0.778</v>
      </c>
      <c r="J405" s="2" t="str">
        <f t="shared" si="27"/>
        <v>33.421</v>
      </c>
      <c r="K405" s="2" t="str">
        <f t="shared" si="27"/>
        <v>0.4159</v>
      </c>
      <c r="L405" s="3">
        <v>10.63</v>
      </c>
      <c r="M405">
        <f>((11.2-L405)/11.2)*100</f>
        <v>5.0892857142857011</v>
      </c>
    </row>
    <row r="406" spans="1:13" x14ac:dyDescent="0.35">
      <c r="A406" s="1" t="s">
        <v>20</v>
      </c>
      <c r="B406" t="str">
        <f t="shared" si="25"/>
        <v>R157</v>
      </c>
      <c r="C406" t="str">
        <f t="shared" si="24"/>
        <v>R</v>
      </c>
      <c r="D406" t="s">
        <v>5</v>
      </c>
      <c r="E406">
        <v>7</v>
      </c>
      <c r="F406" s="2" t="s">
        <v>1174</v>
      </c>
      <c r="G406" s="2" t="s">
        <v>1175</v>
      </c>
      <c r="H406" s="2" t="s">
        <v>1176</v>
      </c>
      <c r="I406" s="2" t="str">
        <f t="shared" si="26"/>
        <v>1.007</v>
      </c>
      <c r="J406" s="2" t="str">
        <f t="shared" si="27"/>
        <v>33.154</v>
      </c>
      <c r="K406" s="2" t="str">
        <f t="shared" si="27"/>
        <v>0.5397</v>
      </c>
      <c r="L406" s="3">
        <v>9.82</v>
      </c>
      <c r="M406">
        <f>((10.33-L406)/10.33)*100</f>
        <v>4.9370764762826695</v>
      </c>
    </row>
    <row r="407" spans="1:13" x14ac:dyDescent="0.35">
      <c r="A407" s="1" t="s">
        <v>22</v>
      </c>
      <c r="B407" t="str">
        <f t="shared" si="25"/>
        <v>R167</v>
      </c>
      <c r="C407" t="str">
        <f t="shared" si="24"/>
        <v>R</v>
      </c>
      <c r="D407" t="s">
        <v>5</v>
      </c>
      <c r="E407">
        <v>7</v>
      </c>
      <c r="F407" s="2" t="s">
        <v>1177</v>
      </c>
      <c r="G407" s="2" t="s">
        <v>1178</v>
      </c>
      <c r="H407" s="2" t="s">
        <v>1179</v>
      </c>
      <c r="I407" s="2" t="str">
        <f t="shared" si="26"/>
        <v>0.687</v>
      </c>
      <c r="J407" s="2" t="str">
        <f t="shared" si="27"/>
        <v>34.301</v>
      </c>
      <c r="K407" s="2" t="str">
        <f t="shared" si="27"/>
        <v>0.3553</v>
      </c>
      <c r="L407" s="3">
        <v>7.96</v>
      </c>
      <c r="M407">
        <f>((8.36-L407)/8.36)*100</f>
        <v>4.7846889952153049</v>
      </c>
    </row>
    <row r="408" spans="1:13" x14ac:dyDescent="0.35">
      <c r="A408" s="1" t="s">
        <v>23</v>
      </c>
      <c r="B408" t="str">
        <f t="shared" si="25"/>
        <v>R177</v>
      </c>
      <c r="C408" t="str">
        <f t="shared" si="24"/>
        <v>R</v>
      </c>
      <c r="D408" t="s">
        <v>5</v>
      </c>
      <c r="E408">
        <v>7</v>
      </c>
      <c r="F408" s="2" t="s">
        <v>1180</v>
      </c>
      <c r="G408" s="2" t="s">
        <v>1181</v>
      </c>
      <c r="H408" s="2" t="s">
        <v>1182</v>
      </c>
      <c r="I408" s="2" t="str">
        <f t="shared" si="26"/>
        <v>0.433</v>
      </c>
      <c r="J408" s="2" t="str">
        <f t="shared" si="27"/>
        <v>34.783</v>
      </c>
      <c r="K408" s="2" t="str">
        <f t="shared" si="27"/>
        <v>0.2206</v>
      </c>
      <c r="L408" s="3">
        <v>10.37</v>
      </c>
      <c r="M408">
        <f>((10.97-L408)/10.97)*100</f>
        <v>5.4694621695533403</v>
      </c>
    </row>
    <row r="409" spans="1:13" x14ac:dyDescent="0.35">
      <c r="A409" s="1" t="s">
        <v>24</v>
      </c>
      <c r="B409" t="str">
        <f t="shared" si="25"/>
        <v>R187</v>
      </c>
      <c r="C409" t="str">
        <f t="shared" si="24"/>
        <v>R</v>
      </c>
      <c r="D409" t="s">
        <v>5</v>
      </c>
      <c r="E409">
        <v>7</v>
      </c>
      <c r="F409" s="2" t="s">
        <v>1183</v>
      </c>
      <c r="G409" s="2" t="s">
        <v>1184</v>
      </c>
      <c r="H409" s="2" t="s">
        <v>1185</v>
      </c>
      <c r="I409" s="2" t="str">
        <f t="shared" si="26"/>
        <v>0.970</v>
      </c>
      <c r="J409" s="2" t="str">
        <f t="shared" si="27"/>
        <v>34.935</v>
      </c>
      <c r="K409" s="2" t="str">
        <f t="shared" si="27"/>
        <v>0.4935</v>
      </c>
      <c r="L409" s="5">
        <v>7.6</v>
      </c>
      <c r="M409">
        <f>((8.03-L409)/8.03)*100</f>
        <v>5.354919053549188</v>
      </c>
    </row>
    <row r="410" spans="1:13" x14ac:dyDescent="0.35">
      <c r="A410" s="1" t="s">
        <v>25</v>
      </c>
      <c r="B410" t="str">
        <f t="shared" si="25"/>
        <v>R197</v>
      </c>
      <c r="C410" t="str">
        <f t="shared" si="24"/>
        <v>R</v>
      </c>
      <c r="D410" t="s">
        <v>5</v>
      </c>
      <c r="E410">
        <v>7</v>
      </c>
      <c r="F410" s="2" t="s">
        <v>1186</v>
      </c>
      <c r="G410" s="2" t="s">
        <v>1187</v>
      </c>
      <c r="H410" s="2" t="s">
        <v>1188</v>
      </c>
      <c r="I410" s="2" t="str">
        <f t="shared" si="26"/>
        <v>0.481</v>
      </c>
      <c r="J410" s="2" t="str">
        <f t="shared" si="27"/>
        <v>30.716</v>
      </c>
      <c r="K410" s="2" t="str">
        <f t="shared" si="27"/>
        <v>0.2758</v>
      </c>
      <c r="L410" s="5">
        <v>8.42</v>
      </c>
      <c r="M410">
        <f>((8.97-L410)/8.97)*100</f>
        <v>6.1315496098104871</v>
      </c>
    </row>
    <row r="411" spans="1:13" x14ac:dyDescent="0.35">
      <c r="A411" s="1" t="s">
        <v>26</v>
      </c>
      <c r="B411" t="str">
        <f t="shared" si="25"/>
        <v>R207</v>
      </c>
      <c r="C411" t="str">
        <f t="shared" si="24"/>
        <v>R</v>
      </c>
      <c r="D411" t="s">
        <v>5</v>
      </c>
      <c r="E411">
        <v>7</v>
      </c>
      <c r="F411" s="2" t="s">
        <v>1189</v>
      </c>
      <c r="G411" s="2" t="s">
        <v>1190</v>
      </c>
      <c r="H411" s="2" t="s">
        <v>1191</v>
      </c>
      <c r="I411" s="2" t="str">
        <f t="shared" si="26"/>
        <v>0.988</v>
      </c>
      <c r="J411" s="2" t="str">
        <f t="shared" si="27"/>
        <v>30.393</v>
      </c>
      <c r="K411" s="2" t="str">
        <f t="shared" si="27"/>
        <v>0.5761</v>
      </c>
      <c r="L411" s="3">
        <v>8.69</v>
      </c>
      <c r="M411">
        <f>((9.17-L411)/9.17)*100</f>
        <v>5.2344601962922619</v>
      </c>
    </row>
    <row r="412" spans="1:13" x14ac:dyDescent="0.35">
      <c r="A412" s="1" t="s">
        <v>27</v>
      </c>
      <c r="B412" t="str">
        <f t="shared" si="25"/>
        <v>R217</v>
      </c>
      <c r="C412" t="str">
        <f t="shared" si="24"/>
        <v>R</v>
      </c>
      <c r="D412" t="s">
        <v>5</v>
      </c>
      <c r="E412">
        <v>7</v>
      </c>
      <c r="F412" s="2" t="s">
        <v>1192</v>
      </c>
      <c r="G412" s="2" t="s">
        <v>1193</v>
      </c>
      <c r="H412" s="2" t="s">
        <v>1194</v>
      </c>
      <c r="I412" s="2" t="str">
        <f t="shared" si="26"/>
        <v>0.646</v>
      </c>
      <c r="J412" s="2" t="str">
        <f t="shared" si="27"/>
        <v>30.485</v>
      </c>
      <c r="K412" s="2" t="str">
        <f t="shared" si="27"/>
        <v>0.3759</v>
      </c>
      <c r="L412" s="3">
        <v>10.47</v>
      </c>
      <c r="M412">
        <f>((11.02-L412)/11.02)*100</f>
        <v>4.9909255898366514</v>
      </c>
    </row>
    <row r="413" spans="1:13" x14ac:dyDescent="0.35">
      <c r="A413" s="1" t="s">
        <v>28</v>
      </c>
      <c r="B413" t="str">
        <f t="shared" si="25"/>
        <v>R227</v>
      </c>
      <c r="C413" t="str">
        <f t="shared" si="24"/>
        <v>R</v>
      </c>
      <c r="D413" t="s">
        <v>5</v>
      </c>
      <c r="E413">
        <v>7</v>
      </c>
      <c r="F413" s="2" t="s">
        <v>1195</v>
      </c>
      <c r="G413" s="2" t="s">
        <v>1196</v>
      </c>
      <c r="H413" s="2" t="s">
        <v>1197</v>
      </c>
      <c r="I413" s="2" t="str">
        <f t="shared" si="26"/>
        <v>0.689</v>
      </c>
      <c r="J413" s="2" t="str">
        <f t="shared" si="27"/>
        <v>34.873</v>
      </c>
      <c r="K413" s="2" t="str">
        <f t="shared" si="27"/>
        <v>0.3505</v>
      </c>
      <c r="L413" s="3">
        <v>10.74</v>
      </c>
      <c r="M413">
        <f>((11.2-L413)/11.2)*100</f>
        <v>4.1071428571428497</v>
      </c>
    </row>
    <row r="414" spans="1:13" x14ac:dyDescent="0.35">
      <c r="A414" s="1" t="s">
        <v>29</v>
      </c>
      <c r="B414" t="str">
        <f t="shared" si="25"/>
        <v>R237</v>
      </c>
      <c r="C414" t="str">
        <f t="shared" si="24"/>
        <v>R</v>
      </c>
      <c r="D414" t="s">
        <v>5</v>
      </c>
      <c r="E414">
        <v>7</v>
      </c>
      <c r="F414" s="2" t="s">
        <v>1198</v>
      </c>
      <c r="G414" s="2" t="s">
        <v>1199</v>
      </c>
      <c r="H414" s="2" t="s">
        <v>1200</v>
      </c>
      <c r="I414" s="2" t="str">
        <f t="shared" si="26"/>
        <v>0.592</v>
      </c>
      <c r="J414" s="2" t="str">
        <f t="shared" si="27"/>
        <v>36.638</v>
      </c>
      <c r="K414" s="2" t="str">
        <f t="shared" si="27"/>
        <v>0.2852</v>
      </c>
      <c r="L414" s="3">
        <v>9.98</v>
      </c>
      <c r="M414">
        <f>((10.41-L414)/10.41)*100</f>
        <v>4.1306436119116201</v>
      </c>
    </row>
    <row r="415" spans="1:13" x14ac:dyDescent="0.35">
      <c r="A415" s="1" t="s">
        <v>30</v>
      </c>
      <c r="B415" t="str">
        <f t="shared" si="25"/>
        <v>R247</v>
      </c>
      <c r="C415" t="str">
        <f t="shared" si="24"/>
        <v>R</v>
      </c>
      <c r="D415" t="s">
        <v>5</v>
      </c>
      <c r="E415">
        <v>7</v>
      </c>
      <c r="F415" s="2" t="s">
        <v>1201</v>
      </c>
      <c r="G415" s="2" t="s">
        <v>1202</v>
      </c>
      <c r="H415" s="2" t="s">
        <v>1203</v>
      </c>
      <c r="I415" s="2" t="str">
        <f t="shared" si="26"/>
        <v>0.876</v>
      </c>
      <c r="J415" s="2" t="str">
        <f t="shared" si="27"/>
        <v>34.548</v>
      </c>
      <c r="K415" s="2" t="str">
        <f t="shared" si="27"/>
        <v>0.4504</v>
      </c>
      <c r="L415" s="3">
        <v>11.34</v>
      </c>
      <c r="M415">
        <f>((11.96-L415)/11.96)*100</f>
        <v>5.183946488294322</v>
      </c>
    </row>
    <row r="416" spans="1:13" x14ac:dyDescent="0.35">
      <c r="A416" s="1" t="s">
        <v>31</v>
      </c>
      <c r="B416" t="str">
        <f t="shared" si="25"/>
        <v>R257</v>
      </c>
      <c r="C416" t="str">
        <f t="shared" si="24"/>
        <v>R</v>
      </c>
      <c r="D416" t="s">
        <v>5</v>
      </c>
      <c r="E416">
        <v>7</v>
      </c>
      <c r="F416" s="2" t="s">
        <v>1204</v>
      </c>
      <c r="G416" s="2" t="s">
        <v>1205</v>
      </c>
      <c r="H416" s="2" t="s">
        <v>1206</v>
      </c>
      <c r="I416" s="2" t="str">
        <f t="shared" si="26"/>
        <v>0.676</v>
      </c>
      <c r="J416" s="2" t="str">
        <f t="shared" si="27"/>
        <v>34.230</v>
      </c>
      <c r="K416" s="2" t="str">
        <f t="shared" si="27"/>
        <v>0.3501</v>
      </c>
      <c r="L416" s="3">
        <v>11.17</v>
      </c>
      <c r="M416">
        <f>((11.77-L416)/11.77)*100</f>
        <v>5.0977060322854681</v>
      </c>
    </row>
    <row r="417" spans="1:13" x14ac:dyDescent="0.35">
      <c r="A417" s="1" t="s">
        <v>32</v>
      </c>
      <c r="B417" t="str">
        <f t="shared" si="25"/>
        <v>R267</v>
      </c>
      <c r="C417" t="str">
        <f t="shared" si="24"/>
        <v>R</v>
      </c>
      <c r="D417" t="s">
        <v>5</v>
      </c>
      <c r="E417">
        <v>7</v>
      </c>
      <c r="F417" s="2" t="s">
        <v>1207</v>
      </c>
      <c r="G417" s="2" t="s">
        <v>1208</v>
      </c>
      <c r="H417" s="2" t="s">
        <v>1209</v>
      </c>
      <c r="I417" s="2" t="str">
        <f t="shared" si="26"/>
        <v>0.810</v>
      </c>
      <c r="J417" s="2" t="str">
        <f t="shared" si="27"/>
        <v>35.271</v>
      </c>
      <c r="K417" s="2" t="str">
        <f t="shared" si="27"/>
        <v>0.4064</v>
      </c>
      <c r="L417" s="3">
        <v>12.11</v>
      </c>
      <c r="M417">
        <f>((12.72-L417)/12.72)*100</f>
        <v>4.7955974842767386</v>
      </c>
    </row>
    <row r="418" spans="1:13" x14ac:dyDescent="0.35">
      <c r="A418" s="1" t="s">
        <v>33</v>
      </c>
      <c r="B418" t="str">
        <f t="shared" si="25"/>
        <v>R277</v>
      </c>
      <c r="C418" t="str">
        <f t="shared" si="24"/>
        <v>R</v>
      </c>
      <c r="D418" t="s">
        <v>5</v>
      </c>
      <c r="E418">
        <v>7</v>
      </c>
      <c r="F418" s="2" t="s">
        <v>1210</v>
      </c>
      <c r="G418" s="2" t="s">
        <v>1211</v>
      </c>
      <c r="H418" s="2" t="s">
        <v>1212</v>
      </c>
      <c r="I418" s="2" t="str">
        <f t="shared" si="26"/>
        <v>0.651</v>
      </c>
      <c r="J418" s="2" t="str">
        <f t="shared" si="27"/>
        <v>32.490</v>
      </c>
      <c r="K418" s="2" t="str">
        <f t="shared" si="27"/>
        <v>0.3562</v>
      </c>
      <c r="L418" s="3">
        <v>12.4</v>
      </c>
      <c r="M418">
        <f>((13.02-L418)/13.02)*100</f>
        <v>4.7619047619047556</v>
      </c>
    </row>
    <row r="419" spans="1:13" x14ac:dyDescent="0.35">
      <c r="A419" s="1" t="s">
        <v>34</v>
      </c>
      <c r="B419" t="str">
        <f t="shared" si="25"/>
        <v>R287</v>
      </c>
      <c r="C419" t="str">
        <f t="shared" si="24"/>
        <v>R</v>
      </c>
      <c r="D419" t="s">
        <v>5</v>
      </c>
      <c r="E419">
        <v>7</v>
      </c>
      <c r="F419" s="2" t="s">
        <v>1213</v>
      </c>
      <c r="G419" s="2" t="s">
        <v>1214</v>
      </c>
      <c r="H419" s="2" t="s">
        <v>1215</v>
      </c>
      <c r="I419" s="2" t="str">
        <f t="shared" si="26"/>
        <v>1.116</v>
      </c>
      <c r="J419" s="2" t="str">
        <f t="shared" si="27"/>
        <v>34.016</v>
      </c>
      <c r="K419" s="2" t="str">
        <f t="shared" si="27"/>
        <v>0.5826</v>
      </c>
      <c r="L419" s="3">
        <v>9.6300000000000008</v>
      </c>
      <c r="M419">
        <f>((10.13-L419)/10.13)*100</f>
        <v>4.9358341559723584</v>
      </c>
    </row>
    <row r="420" spans="1:13" x14ac:dyDescent="0.35">
      <c r="A420" s="1" t="s">
        <v>35</v>
      </c>
      <c r="B420" t="str">
        <f t="shared" si="25"/>
        <v>R297</v>
      </c>
      <c r="C420" t="str">
        <f t="shared" si="24"/>
        <v>R</v>
      </c>
      <c r="D420" t="s">
        <v>5</v>
      </c>
      <c r="E420">
        <v>7</v>
      </c>
      <c r="F420" s="2" t="s">
        <v>1216</v>
      </c>
      <c r="G420" s="2" t="s">
        <v>1217</v>
      </c>
      <c r="H420" s="2" t="s">
        <v>1218</v>
      </c>
      <c r="I420" s="2" t="str">
        <f t="shared" si="26"/>
        <v>0.448</v>
      </c>
      <c r="J420" s="2" t="str">
        <f t="shared" si="27"/>
        <v>34.308</v>
      </c>
      <c r="K420" s="2" t="str">
        <f t="shared" si="27"/>
        <v>0.2322</v>
      </c>
      <c r="L420" s="3">
        <v>7.75</v>
      </c>
      <c r="M420">
        <f>((8.49-L420)/8.49)*100</f>
        <v>8.7161366313309792</v>
      </c>
    </row>
    <row r="421" spans="1:13" x14ac:dyDescent="0.35">
      <c r="A421" s="1" t="s">
        <v>36</v>
      </c>
      <c r="B421" t="str">
        <f t="shared" si="25"/>
        <v>R307</v>
      </c>
      <c r="C421" t="str">
        <f t="shared" si="24"/>
        <v>R</v>
      </c>
      <c r="D421" t="s">
        <v>5</v>
      </c>
      <c r="E421">
        <v>7</v>
      </c>
      <c r="F421" s="2" t="s">
        <v>1219</v>
      </c>
      <c r="G421" s="2" t="s">
        <v>1220</v>
      </c>
      <c r="H421" s="2" t="s">
        <v>1221</v>
      </c>
      <c r="I421" s="2" t="str">
        <f t="shared" si="26"/>
        <v>0.492</v>
      </c>
      <c r="J421" s="2" t="str">
        <f t="shared" si="27"/>
        <v>32.092</v>
      </c>
      <c r="K421" s="2" t="str">
        <f t="shared" si="27"/>
        <v>0.2728</v>
      </c>
      <c r="L421" s="5">
        <v>7.12</v>
      </c>
      <c r="M421">
        <f>((7.78-L421)/7.78)*100</f>
        <v>8.4832904884318783</v>
      </c>
    </row>
    <row r="422" spans="1:13" x14ac:dyDescent="0.35">
      <c r="A422" s="1" t="s">
        <v>7</v>
      </c>
      <c r="B422" t="str">
        <f t="shared" si="25"/>
        <v>C018</v>
      </c>
      <c r="C422" t="str">
        <f t="shared" si="24"/>
        <v>C</v>
      </c>
      <c r="D422" t="s">
        <v>4</v>
      </c>
      <c r="E422">
        <v>8</v>
      </c>
      <c r="F422" s="2" t="s">
        <v>1399</v>
      </c>
      <c r="G422" s="2" t="s">
        <v>1400</v>
      </c>
      <c r="H422" s="2" t="s">
        <v>1401</v>
      </c>
      <c r="I422" s="2" t="str">
        <f t="shared" si="26"/>
        <v>0.837</v>
      </c>
      <c r="J422" s="2" t="str">
        <f t="shared" si="27"/>
        <v>35.878</v>
      </c>
      <c r="K422" s="2" t="str">
        <f t="shared" si="27"/>
        <v>0.4188</v>
      </c>
      <c r="L422" s="3">
        <v>10.37</v>
      </c>
      <c r="M422">
        <f>((10.71-L422)/10.71)*100</f>
        <v>3.1746031746031895</v>
      </c>
    </row>
    <row r="423" spans="1:13" x14ac:dyDescent="0.35">
      <c r="A423" s="1" t="s">
        <v>8</v>
      </c>
      <c r="B423" t="str">
        <f t="shared" si="25"/>
        <v>C028</v>
      </c>
      <c r="C423" t="str">
        <f t="shared" si="24"/>
        <v>C</v>
      </c>
      <c r="D423" t="s">
        <v>4</v>
      </c>
      <c r="E423">
        <v>8</v>
      </c>
      <c r="F423" s="2" t="s">
        <v>1402</v>
      </c>
      <c r="G423" s="2" t="s">
        <v>1403</v>
      </c>
      <c r="H423" s="2" t="s">
        <v>1404</v>
      </c>
      <c r="I423" s="2" t="str">
        <f t="shared" si="26"/>
        <v>0.932</v>
      </c>
      <c r="J423" s="2" t="str">
        <f t="shared" si="27"/>
        <v>35.401</v>
      </c>
      <c r="K423" s="2" t="str">
        <f t="shared" si="27"/>
        <v>0.4667</v>
      </c>
      <c r="L423" s="3">
        <v>10.75</v>
      </c>
      <c r="M423">
        <f>((11.03-L423)/11.03)*100</f>
        <v>2.5385312783318166</v>
      </c>
    </row>
    <row r="424" spans="1:13" x14ac:dyDescent="0.35">
      <c r="A424" s="1" t="s">
        <v>21</v>
      </c>
      <c r="B424" t="str">
        <f t="shared" si="25"/>
        <v>C038</v>
      </c>
      <c r="C424" t="str">
        <f t="shared" si="24"/>
        <v>C</v>
      </c>
      <c r="D424" t="s">
        <v>4</v>
      </c>
      <c r="E424">
        <v>8</v>
      </c>
      <c r="F424" s="2" t="s">
        <v>1405</v>
      </c>
      <c r="G424" s="2" t="s">
        <v>1406</v>
      </c>
      <c r="H424" s="2" t="s">
        <v>1407</v>
      </c>
      <c r="I424" s="2" t="str">
        <f t="shared" si="26"/>
        <v>0.839</v>
      </c>
      <c r="J424" s="2" t="str">
        <f t="shared" si="27"/>
        <v>35.384</v>
      </c>
      <c r="K424" s="2" t="str">
        <f t="shared" si="27"/>
        <v>0.4220</v>
      </c>
      <c r="L424" s="3">
        <v>8.69</v>
      </c>
      <c r="M424">
        <f>((8.99-L424)/8.99)*100</f>
        <v>3.3370411568409422</v>
      </c>
    </row>
    <row r="425" spans="1:13" x14ac:dyDescent="0.35">
      <c r="A425" s="1" t="s">
        <v>9</v>
      </c>
      <c r="B425" t="str">
        <f t="shared" si="25"/>
        <v>C048</v>
      </c>
      <c r="C425" t="str">
        <f t="shared" si="24"/>
        <v>C</v>
      </c>
      <c r="D425" t="s">
        <v>4</v>
      </c>
      <c r="E425">
        <v>8</v>
      </c>
      <c r="F425" s="2" t="s">
        <v>1408</v>
      </c>
      <c r="G425" s="2" t="s">
        <v>1409</v>
      </c>
      <c r="H425" s="2" t="s">
        <v>1410</v>
      </c>
      <c r="I425" s="2" t="str">
        <f t="shared" si="26"/>
        <v>0.786</v>
      </c>
      <c r="J425" s="2" t="str">
        <f t="shared" si="27"/>
        <v>38.448</v>
      </c>
      <c r="K425" s="2" t="str">
        <f t="shared" si="27"/>
        <v>0.3628</v>
      </c>
      <c r="L425" s="3">
        <v>12.55</v>
      </c>
      <c r="M425">
        <f>((12.82-L425)/12.82)*100</f>
        <v>2.1060842433697315</v>
      </c>
    </row>
    <row r="426" spans="1:13" x14ac:dyDescent="0.35">
      <c r="A426" s="1" t="s">
        <v>10</v>
      </c>
      <c r="B426" t="str">
        <f t="shared" si="25"/>
        <v>C058</v>
      </c>
      <c r="C426" t="str">
        <f t="shared" si="24"/>
        <v>C</v>
      </c>
      <c r="D426" t="s">
        <v>4</v>
      </c>
      <c r="E426">
        <v>8</v>
      </c>
      <c r="F426" s="2" t="s">
        <v>1411</v>
      </c>
      <c r="G426" s="2" t="s">
        <v>1412</v>
      </c>
      <c r="H426" s="2" t="s">
        <v>1413</v>
      </c>
      <c r="I426" s="2" t="str">
        <f t="shared" si="26"/>
        <v>0.454</v>
      </c>
      <c r="J426" s="2" t="str">
        <f t="shared" si="27"/>
        <v>32.839</v>
      </c>
      <c r="K426" s="2" t="str">
        <f t="shared" si="27"/>
        <v>0.2469</v>
      </c>
      <c r="L426" s="5">
        <v>11</v>
      </c>
      <c r="M426">
        <f>((11.24-L426)/11.24)*100</f>
        <v>2.1352313167259807</v>
      </c>
    </row>
    <row r="427" spans="1:13" x14ac:dyDescent="0.35">
      <c r="A427" s="1" t="s">
        <v>11</v>
      </c>
      <c r="B427" t="str">
        <f t="shared" si="25"/>
        <v>C068</v>
      </c>
      <c r="C427" t="str">
        <f t="shared" si="24"/>
        <v>C</v>
      </c>
      <c r="D427" t="s">
        <v>4</v>
      </c>
      <c r="E427">
        <v>8</v>
      </c>
      <c r="F427" s="2" t="s">
        <v>1414</v>
      </c>
      <c r="G427" s="2" t="s">
        <v>1415</v>
      </c>
      <c r="H427" s="2" t="s">
        <v>1416</v>
      </c>
      <c r="I427" s="2" t="str">
        <f t="shared" si="26"/>
        <v>0.447</v>
      </c>
      <c r="J427" s="2" t="str">
        <f t="shared" si="27"/>
        <v>37.003</v>
      </c>
      <c r="K427" s="2" t="str">
        <f t="shared" si="27"/>
        <v>0.2143</v>
      </c>
      <c r="L427" s="3">
        <v>9.24</v>
      </c>
      <c r="M427">
        <f>((9.49-L427)/9.49)*100</f>
        <v>2.6343519494204428</v>
      </c>
    </row>
    <row r="428" spans="1:13" x14ac:dyDescent="0.35">
      <c r="A428" s="1" t="s">
        <v>12</v>
      </c>
      <c r="B428" t="str">
        <f t="shared" si="25"/>
        <v>C078</v>
      </c>
      <c r="C428" t="str">
        <f t="shared" si="24"/>
        <v>C</v>
      </c>
      <c r="D428" t="s">
        <v>4</v>
      </c>
      <c r="E428">
        <v>8</v>
      </c>
      <c r="F428" s="2" t="s">
        <v>1417</v>
      </c>
      <c r="G428" s="2" t="s">
        <v>1418</v>
      </c>
      <c r="H428" s="2" t="s">
        <v>1419</v>
      </c>
      <c r="I428" s="2" t="str">
        <f t="shared" si="26"/>
        <v>1.111</v>
      </c>
      <c r="J428" s="2" t="str">
        <f t="shared" si="27"/>
        <v>34.430</v>
      </c>
      <c r="K428" s="2" t="str">
        <f t="shared" si="27"/>
        <v>0.5710</v>
      </c>
      <c r="L428" s="3">
        <v>12</v>
      </c>
      <c r="M428">
        <f>((12.19-L428)/12.19)*100</f>
        <v>1.5586546349466737</v>
      </c>
    </row>
    <row r="429" spans="1:13" x14ac:dyDescent="0.35">
      <c r="A429" s="1" t="s">
        <v>13</v>
      </c>
      <c r="B429" t="str">
        <f t="shared" si="25"/>
        <v>C088</v>
      </c>
      <c r="C429" t="str">
        <f t="shared" si="24"/>
        <v>C</v>
      </c>
      <c r="D429" t="s">
        <v>4</v>
      </c>
      <c r="E429">
        <v>8</v>
      </c>
      <c r="F429" s="2" t="s">
        <v>1420</v>
      </c>
      <c r="G429" s="2" t="s">
        <v>1421</v>
      </c>
      <c r="H429" s="2" t="s">
        <v>1422</v>
      </c>
      <c r="I429" s="2" t="str">
        <f t="shared" si="26"/>
        <v>0.561</v>
      </c>
      <c r="J429" s="2" t="str">
        <f t="shared" si="27"/>
        <v>35.953</v>
      </c>
      <c r="K429" s="2" t="str">
        <f t="shared" si="27"/>
        <v>0.2768</v>
      </c>
      <c r="L429" s="3">
        <v>8.82</v>
      </c>
      <c r="M429">
        <f>((9.02-L429)/9.02)*100</f>
        <v>2.2172949002217215</v>
      </c>
    </row>
    <row r="430" spans="1:13" x14ac:dyDescent="0.35">
      <c r="A430" s="1" t="s">
        <v>14</v>
      </c>
      <c r="B430" t="str">
        <f t="shared" si="25"/>
        <v>C098</v>
      </c>
      <c r="C430" t="str">
        <f t="shared" si="24"/>
        <v>C</v>
      </c>
      <c r="D430" t="s">
        <v>4</v>
      </c>
      <c r="E430">
        <v>8</v>
      </c>
      <c r="F430" s="2" t="s">
        <v>1423</v>
      </c>
      <c r="G430" s="2" t="s">
        <v>1424</v>
      </c>
      <c r="H430" s="2" t="s">
        <v>1425</v>
      </c>
      <c r="I430" s="2" t="str">
        <f t="shared" si="26"/>
        <v>0.495</v>
      </c>
      <c r="J430" s="2" t="str">
        <f t="shared" si="27"/>
        <v>34.773</v>
      </c>
      <c r="K430" s="2" t="str">
        <f t="shared" si="27"/>
        <v>0.2516</v>
      </c>
      <c r="L430" s="3">
        <v>8.48</v>
      </c>
      <c r="M430">
        <f>((8.66-L430)/8.66)*100</f>
        <v>2.0785219399538075</v>
      </c>
    </row>
    <row r="431" spans="1:13" x14ac:dyDescent="0.35">
      <c r="A431" s="1" t="s">
        <v>15</v>
      </c>
      <c r="B431" t="str">
        <f t="shared" si="25"/>
        <v>C108</v>
      </c>
      <c r="C431" t="str">
        <f t="shared" si="24"/>
        <v>C</v>
      </c>
      <c r="D431" t="s">
        <v>4</v>
      </c>
      <c r="E431">
        <v>8</v>
      </c>
      <c r="F431" s="2" t="s">
        <v>1426</v>
      </c>
      <c r="G431" s="2" t="s">
        <v>1427</v>
      </c>
      <c r="H431" s="2" t="s">
        <v>1428</v>
      </c>
      <c r="I431" s="2" t="str">
        <f t="shared" si="26"/>
        <v>1.164</v>
      </c>
      <c r="J431" s="2" t="str">
        <f t="shared" si="27"/>
        <v>35.088</v>
      </c>
      <c r="K431" s="2" t="str">
        <f t="shared" si="27"/>
        <v>0.5878</v>
      </c>
      <c r="L431" s="3">
        <v>12.5</v>
      </c>
      <c r="M431">
        <f>((12.87-L431)/12.87)*100</f>
        <v>2.8749028749028689</v>
      </c>
    </row>
    <row r="432" spans="1:13" x14ac:dyDescent="0.35">
      <c r="A432" s="1" t="s">
        <v>16</v>
      </c>
      <c r="B432" t="str">
        <f t="shared" si="25"/>
        <v>C118</v>
      </c>
      <c r="C432" t="str">
        <f t="shared" si="24"/>
        <v>C</v>
      </c>
      <c r="D432" t="s">
        <v>4</v>
      </c>
      <c r="E432">
        <v>8</v>
      </c>
      <c r="F432" s="2" t="s">
        <v>1429</v>
      </c>
      <c r="G432" s="2" t="s">
        <v>1430</v>
      </c>
      <c r="H432" s="2" t="s">
        <v>1431</v>
      </c>
      <c r="I432" s="2" t="str">
        <f t="shared" si="26"/>
        <v>0.867</v>
      </c>
      <c r="J432" s="2" t="str">
        <f t="shared" si="27"/>
        <v>34.261</v>
      </c>
      <c r="K432" s="2" t="str">
        <f t="shared" si="27"/>
        <v>0.4423</v>
      </c>
      <c r="L432" s="3">
        <v>7.87</v>
      </c>
      <c r="M432">
        <f>((8.02-L432)/8.02)*100</f>
        <v>1.870324189526178</v>
      </c>
    </row>
    <row r="433" spans="1:13" x14ac:dyDescent="0.35">
      <c r="A433" s="1" t="s">
        <v>17</v>
      </c>
      <c r="B433" t="str">
        <f t="shared" si="25"/>
        <v>C128</v>
      </c>
      <c r="C433" t="str">
        <f t="shared" si="24"/>
        <v>C</v>
      </c>
      <c r="D433" t="s">
        <v>4</v>
      </c>
      <c r="E433">
        <v>8</v>
      </c>
      <c r="F433" s="2" t="s">
        <v>1432</v>
      </c>
      <c r="G433" s="2" t="s">
        <v>1433</v>
      </c>
      <c r="H433" s="2" t="s">
        <v>1434</v>
      </c>
      <c r="I433" s="2" t="str">
        <f t="shared" si="26"/>
        <v>0.468</v>
      </c>
      <c r="J433" s="2" t="str">
        <f t="shared" si="27"/>
        <v>31.773</v>
      </c>
      <c r="K433" s="2" t="str">
        <f t="shared" si="27"/>
        <v>0.2655</v>
      </c>
      <c r="L433" s="3">
        <v>8.83</v>
      </c>
      <c r="M433">
        <f>((9.02-L433)/9.02)*100</f>
        <v>2.1064301552106377</v>
      </c>
    </row>
    <row r="434" spans="1:13" x14ac:dyDescent="0.35">
      <c r="A434" s="1" t="s">
        <v>18</v>
      </c>
      <c r="B434" t="str">
        <f t="shared" si="25"/>
        <v>C138</v>
      </c>
      <c r="C434" t="str">
        <f t="shared" si="24"/>
        <v>C</v>
      </c>
      <c r="D434" t="s">
        <v>4</v>
      </c>
      <c r="E434">
        <v>8</v>
      </c>
      <c r="F434" s="2" t="s">
        <v>1435</v>
      </c>
      <c r="G434" s="2" t="s">
        <v>1436</v>
      </c>
      <c r="H434" s="2" t="s">
        <v>1437</v>
      </c>
      <c r="I434" s="2" t="str">
        <f t="shared" si="26"/>
        <v>1.203</v>
      </c>
      <c r="J434" s="2" t="str">
        <f t="shared" si="27"/>
        <v>35.178</v>
      </c>
      <c r="K434" s="2" t="str">
        <f t="shared" si="27"/>
        <v>0.6066</v>
      </c>
      <c r="L434" s="3">
        <v>10.35</v>
      </c>
      <c r="M434">
        <f>((10.68-L434)/10.68)*100</f>
        <v>3.0898876404494389</v>
      </c>
    </row>
    <row r="435" spans="1:13" x14ac:dyDescent="0.35">
      <c r="A435" s="1" t="s">
        <v>19</v>
      </c>
      <c r="B435" t="str">
        <f t="shared" si="25"/>
        <v>C148</v>
      </c>
      <c r="C435" t="str">
        <f t="shared" si="24"/>
        <v>C</v>
      </c>
      <c r="D435" t="s">
        <v>4</v>
      </c>
      <c r="E435">
        <v>8</v>
      </c>
      <c r="F435" s="2" t="s">
        <v>1438</v>
      </c>
      <c r="G435" s="2" t="s">
        <v>1439</v>
      </c>
      <c r="H435" s="2" t="s">
        <v>1440</v>
      </c>
      <c r="I435" s="2" t="str">
        <f t="shared" si="26"/>
        <v>0.669</v>
      </c>
      <c r="J435" s="2" t="str">
        <f t="shared" si="27"/>
        <v>31.894</v>
      </c>
      <c r="K435" s="2" t="str">
        <f t="shared" si="27"/>
        <v>0.3798</v>
      </c>
      <c r="L435" s="3">
        <v>9.1199999999999992</v>
      </c>
      <c r="M435">
        <f>((9.31-L435)/9.31)*100</f>
        <v>2.0408163265306261</v>
      </c>
    </row>
    <row r="436" spans="1:13" x14ac:dyDescent="0.35">
      <c r="A436" s="1" t="s">
        <v>20</v>
      </c>
      <c r="B436" t="str">
        <f t="shared" si="25"/>
        <v>C158</v>
      </c>
      <c r="C436" t="str">
        <f t="shared" si="24"/>
        <v>C</v>
      </c>
      <c r="D436" t="s">
        <v>4</v>
      </c>
      <c r="E436">
        <v>8</v>
      </c>
      <c r="F436" s="2" t="s">
        <v>1441</v>
      </c>
      <c r="G436" s="2" t="s">
        <v>1442</v>
      </c>
      <c r="H436" s="2" t="s">
        <v>1443</v>
      </c>
      <c r="I436" s="2" t="str">
        <f t="shared" si="26"/>
        <v>0.989</v>
      </c>
      <c r="J436" s="2" t="str">
        <f t="shared" si="27"/>
        <v>36.096</v>
      </c>
      <c r="K436" s="2" t="str">
        <f t="shared" si="27"/>
        <v>0.4852</v>
      </c>
      <c r="L436" s="3">
        <v>12.7</v>
      </c>
      <c r="M436">
        <f>((12.96-L436)/12.96)*100</f>
        <v>2.0061728395061849</v>
      </c>
    </row>
    <row r="437" spans="1:13" x14ac:dyDescent="0.35">
      <c r="A437" s="1" t="s">
        <v>22</v>
      </c>
      <c r="B437" t="str">
        <f t="shared" si="25"/>
        <v>C168</v>
      </c>
      <c r="C437" t="str">
        <f t="shared" si="24"/>
        <v>C</v>
      </c>
      <c r="D437" t="s">
        <v>4</v>
      </c>
      <c r="E437">
        <v>8</v>
      </c>
      <c r="F437" s="2" t="s">
        <v>1444</v>
      </c>
      <c r="G437" s="2" t="s">
        <v>1445</v>
      </c>
      <c r="H437" s="2" t="s">
        <v>1446</v>
      </c>
      <c r="I437" s="2" t="str">
        <f t="shared" si="26"/>
        <v>0.921</v>
      </c>
      <c r="J437" s="2" t="str">
        <f t="shared" si="27"/>
        <v>34.700</v>
      </c>
      <c r="K437" s="2" t="str">
        <f t="shared" si="27"/>
        <v>0.4704</v>
      </c>
      <c r="L437" s="3">
        <v>12.68</v>
      </c>
      <c r="M437">
        <f>((13.01-L437)/13.01)*100</f>
        <v>2.5365103766333594</v>
      </c>
    </row>
    <row r="438" spans="1:13" x14ac:dyDescent="0.35">
      <c r="A438" s="1" t="s">
        <v>23</v>
      </c>
      <c r="B438" t="str">
        <f t="shared" si="25"/>
        <v>C178</v>
      </c>
      <c r="C438" t="str">
        <f t="shared" si="24"/>
        <v>C</v>
      </c>
      <c r="D438" t="s">
        <v>4</v>
      </c>
      <c r="E438">
        <v>8</v>
      </c>
      <c r="F438" s="2" t="s">
        <v>1447</v>
      </c>
      <c r="G438" s="2" t="s">
        <v>1448</v>
      </c>
      <c r="H438" s="2" t="s">
        <v>1449</v>
      </c>
      <c r="I438" s="2" t="str">
        <f t="shared" si="26"/>
        <v>0.617</v>
      </c>
      <c r="J438" s="2" t="str">
        <f t="shared" si="27"/>
        <v>33.859</v>
      </c>
      <c r="K438" s="2" t="str">
        <f t="shared" si="27"/>
        <v>0.3225</v>
      </c>
      <c r="L438" s="3">
        <v>8.01</v>
      </c>
      <c r="M438">
        <f>((8.28-L438)/8.28)*100</f>
        <v>3.2608695652173862</v>
      </c>
    </row>
    <row r="439" spans="1:13" x14ac:dyDescent="0.35">
      <c r="A439" s="1" t="s">
        <v>24</v>
      </c>
      <c r="B439" t="str">
        <f t="shared" si="25"/>
        <v>C188</v>
      </c>
      <c r="C439" t="str">
        <f t="shared" si="24"/>
        <v>C</v>
      </c>
      <c r="D439" t="s">
        <v>4</v>
      </c>
      <c r="E439">
        <v>8</v>
      </c>
      <c r="F439" s="2" t="s">
        <v>1450</v>
      </c>
      <c r="G439" s="2" t="s">
        <v>1451</v>
      </c>
      <c r="H439" s="2" t="s">
        <v>1452</v>
      </c>
      <c r="I439" s="2" t="str">
        <f t="shared" si="26"/>
        <v>0.997</v>
      </c>
      <c r="J439" s="2" t="str">
        <f t="shared" si="27"/>
        <v>35.206</v>
      </c>
      <c r="K439" s="2" t="str">
        <f t="shared" si="27"/>
        <v>0.5028</v>
      </c>
      <c r="L439" s="3">
        <v>8.34</v>
      </c>
      <c r="M439">
        <f>((8.57-L439)/8.57)*100</f>
        <v>2.6837806301050224</v>
      </c>
    </row>
    <row r="440" spans="1:13" x14ac:dyDescent="0.35">
      <c r="A440" s="1" t="s">
        <v>25</v>
      </c>
      <c r="B440" t="str">
        <f t="shared" si="25"/>
        <v>C198</v>
      </c>
      <c r="C440" t="str">
        <f t="shared" si="24"/>
        <v>C</v>
      </c>
      <c r="D440" t="s">
        <v>4</v>
      </c>
      <c r="E440">
        <v>8</v>
      </c>
      <c r="F440" s="2" t="s">
        <v>1453</v>
      </c>
      <c r="G440" s="2" t="s">
        <v>1454</v>
      </c>
      <c r="H440" s="2" t="s">
        <v>1455</v>
      </c>
      <c r="I440" s="2" t="str">
        <f t="shared" si="26"/>
        <v>0.498</v>
      </c>
      <c r="J440" s="2" t="str">
        <f t="shared" si="27"/>
        <v>32.276</v>
      </c>
      <c r="K440" s="2" t="str">
        <f t="shared" si="27"/>
        <v>0.2740</v>
      </c>
      <c r="L440" s="3">
        <v>8.6199999999999992</v>
      </c>
      <c r="M440">
        <f>((8.79-L440)/8.79)*100</f>
        <v>1.9340159271899879</v>
      </c>
    </row>
    <row r="441" spans="1:13" x14ac:dyDescent="0.35">
      <c r="A441" s="1" t="s">
        <v>26</v>
      </c>
      <c r="B441" t="str">
        <f t="shared" si="25"/>
        <v>C208</v>
      </c>
      <c r="C441" t="str">
        <f t="shared" si="24"/>
        <v>C</v>
      </c>
      <c r="D441" t="s">
        <v>4</v>
      </c>
      <c r="E441">
        <v>8</v>
      </c>
      <c r="F441" s="2" t="s">
        <v>1456</v>
      </c>
      <c r="G441" s="2" t="s">
        <v>1457</v>
      </c>
      <c r="H441" s="2" t="s">
        <v>1458</v>
      </c>
      <c r="I441" s="2" t="str">
        <f t="shared" si="26"/>
        <v>1.014</v>
      </c>
      <c r="J441" s="2" t="str">
        <f t="shared" si="27"/>
        <v>32.813</v>
      </c>
      <c r="K441" s="2" t="str">
        <f t="shared" si="27"/>
        <v>0.5479</v>
      </c>
      <c r="L441" s="3">
        <v>8.3699999999999992</v>
      </c>
      <c r="M441">
        <f>((8.56-L441)/8.56)*100</f>
        <v>2.2196261682243139</v>
      </c>
    </row>
    <row r="442" spans="1:13" x14ac:dyDescent="0.35">
      <c r="A442" s="1" t="s">
        <v>27</v>
      </c>
      <c r="B442" t="str">
        <f t="shared" si="25"/>
        <v>C218</v>
      </c>
      <c r="C442" t="str">
        <f t="shared" si="24"/>
        <v>C</v>
      </c>
      <c r="D442" t="s">
        <v>4</v>
      </c>
      <c r="E442">
        <v>8</v>
      </c>
      <c r="F442" s="2" t="s">
        <v>1459</v>
      </c>
      <c r="G442" s="2" t="s">
        <v>1460</v>
      </c>
      <c r="H442" s="2" t="s">
        <v>1461</v>
      </c>
      <c r="I442" s="2" t="str">
        <f t="shared" si="26"/>
        <v>0.616</v>
      </c>
      <c r="J442" s="2" t="str">
        <f t="shared" si="27"/>
        <v>34.912</v>
      </c>
      <c r="K442" s="2" t="str">
        <f t="shared" si="27"/>
        <v>0.3127</v>
      </c>
      <c r="L442" s="3">
        <v>11.44</v>
      </c>
      <c r="M442">
        <f>((11.72-L442)/11.72)*100</f>
        <v>2.3890784982935247</v>
      </c>
    </row>
    <row r="443" spans="1:13" x14ac:dyDescent="0.35">
      <c r="A443" s="1" t="s">
        <v>28</v>
      </c>
      <c r="B443" t="str">
        <f t="shared" si="25"/>
        <v>C228</v>
      </c>
      <c r="C443" t="str">
        <f t="shared" ref="C443:C506" si="28">LEFT(D443,1)</f>
        <v>C</v>
      </c>
      <c r="D443" t="s">
        <v>4</v>
      </c>
      <c r="E443">
        <v>8</v>
      </c>
      <c r="F443" s="2" t="s">
        <v>1462</v>
      </c>
      <c r="G443" s="2" t="s">
        <v>1463</v>
      </c>
      <c r="H443" s="2" t="s">
        <v>1464</v>
      </c>
      <c r="I443" s="2" t="str">
        <f t="shared" si="26"/>
        <v>0.705</v>
      </c>
      <c r="J443" s="2" t="str">
        <f t="shared" si="27"/>
        <v>35.119</v>
      </c>
      <c r="K443" s="2" t="str">
        <f t="shared" si="27"/>
        <v>0.3564</v>
      </c>
      <c r="L443" s="3">
        <v>9.89</v>
      </c>
      <c r="M443">
        <f>((10.19-L443)/10.19)*100</f>
        <v>2.9440628066731986</v>
      </c>
    </row>
    <row r="444" spans="1:13" x14ac:dyDescent="0.35">
      <c r="A444" s="1" t="s">
        <v>29</v>
      </c>
      <c r="B444" t="str">
        <f t="shared" si="25"/>
        <v>C238</v>
      </c>
      <c r="C444" t="str">
        <f t="shared" si="28"/>
        <v>C</v>
      </c>
      <c r="D444" t="s">
        <v>4</v>
      </c>
      <c r="E444">
        <v>8</v>
      </c>
      <c r="F444" s="2" t="s">
        <v>1465</v>
      </c>
      <c r="G444" s="2" t="s">
        <v>1466</v>
      </c>
      <c r="H444" s="2" t="s">
        <v>1467</v>
      </c>
      <c r="I444" s="2" t="str">
        <f t="shared" si="26"/>
        <v>1.150</v>
      </c>
      <c r="J444" s="2" t="str">
        <f t="shared" si="27"/>
        <v>37.387</v>
      </c>
      <c r="K444" s="2" t="str">
        <f t="shared" si="27"/>
        <v>0.5440</v>
      </c>
      <c r="L444" s="3">
        <v>6.43</v>
      </c>
      <c r="M444">
        <f>((6.69-L444)/6.69)*100</f>
        <v>3.8863976083707126</v>
      </c>
    </row>
    <row r="445" spans="1:13" x14ac:dyDescent="0.35">
      <c r="A445" s="1" t="s">
        <v>30</v>
      </c>
      <c r="B445" t="str">
        <f t="shared" si="25"/>
        <v>C248</v>
      </c>
      <c r="C445" t="str">
        <f t="shared" si="28"/>
        <v>C</v>
      </c>
      <c r="D445" t="s">
        <v>4</v>
      </c>
      <c r="E445">
        <v>8</v>
      </c>
      <c r="F445" s="2" t="s">
        <v>1468</v>
      </c>
      <c r="G445" s="2" t="s">
        <v>1469</v>
      </c>
      <c r="H445" s="2" t="s">
        <v>1470</v>
      </c>
      <c r="I445" s="2" t="str">
        <f t="shared" si="26"/>
        <v>0.518</v>
      </c>
      <c r="J445" s="2" t="str">
        <f t="shared" si="27"/>
        <v>31.129</v>
      </c>
      <c r="K445" s="2" t="str">
        <f t="shared" si="27"/>
        <v>0.2956</v>
      </c>
      <c r="L445" s="3">
        <v>6.58</v>
      </c>
      <c r="M445">
        <f>((6.98-L445)/6.98)*100</f>
        <v>5.7306590257879702</v>
      </c>
    </row>
    <row r="446" spans="1:13" x14ac:dyDescent="0.35">
      <c r="A446" s="1" t="s">
        <v>31</v>
      </c>
      <c r="B446" t="str">
        <f t="shared" si="25"/>
        <v>C258</v>
      </c>
      <c r="C446" t="str">
        <f t="shared" si="28"/>
        <v>C</v>
      </c>
      <c r="D446" t="s">
        <v>4</v>
      </c>
      <c r="E446">
        <v>8</v>
      </c>
      <c r="F446" s="2" t="s">
        <v>1471</v>
      </c>
      <c r="G446" s="2" t="s">
        <v>1472</v>
      </c>
      <c r="H446" s="2" t="s">
        <v>1473</v>
      </c>
      <c r="I446" s="2" t="str">
        <f t="shared" si="26"/>
        <v>0.624</v>
      </c>
      <c r="J446" s="2" t="str">
        <f t="shared" si="27"/>
        <v>33.455</v>
      </c>
      <c r="K446" s="2" t="str">
        <f t="shared" si="27"/>
        <v>0.3319</v>
      </c>
      <c r="L446" s="3">
        <v>11.5</v>
      </c>
      <c r="M446">
        <f>((11.74-L446)/11.74)*100</f>
        <v>2.0442930153321996</v>
      </c>
    </row>
    <row r="447" spans="1:13" x14ac:dyDescent="0.35">
      <c r="A447" s="1" t="s">
        <v>32</v>
      </c>
      <c r="B447" t="str">
        <f t="shared" si="25"/>
        <v>C268</v>
      </c>
      <c r="C447" t="str">
        <f t="shared" si="28"/>
        <v>C</v>
      </c>
      <c r="D447" t="s">
        <v>4</v>
      </c>
      <c r="E447">
        <v>8</v>
      </c>
      <c r="F447" s="2" t="s">
        <v>1474</v>
      </c>
      <c r="G447" s="2" t="s">
        <v>1475</v>
      </c>
      <c r="H447" s="2" t="s">
        <v>1476</v>
      </c>
      <c r="I447" s="2" t="str">
        <f t="shared" si="26"/>
        <v>0.419</v>
      </c>
      <c r="J447" s="2" t="str">
        <f t="shared" si="27"/>
        <v>32.995</v>
      </c>
      <c r="K447" s="2" t="str">
        <f t="shared" si="27"/>
        <v>0.2262</v>
      </c>
      <c r="L447" s="3">
        <v>6.6</v>
      </c>
      <c r="M447">
        <f>((6.81-L447)/6.81)*100</f>
        <v>3.0837004405286339</v>
      </c>
    </row>
    <row r="448" spans="1:13" x14ac:dyDescent="0.35">
      <c r="A448" s="1" t="s">
        <v>33</v>
      </c>
      <c r="B448" t="str">
        <f t="shared" si="25"/>
        <v>C278</v>
      </c>
      <c r="C448" t="str">
        <f t="shared" si="28"/>
        <v>C</v>
      </c>
      <c r="D448" t="s">
        <v>4</v>
      </c>
      <c r="E448">
        <v>8</v>
      </c>
      <c r="F448" s="2" t="s">
        <v>1477</v>
      </c>
      <c r="G448" s="2" t="s">
        <v>1478</v>
      </c>
      <c r="H448" s="2" t="s">
        <v>1479</v>
      </c>
      <c r="I448" s="2" t="str">
        <f t="shared" si="26"/>
        <v>0.682</v>
      </c>
      <c r="J448" s="2" t="str">
        <f t="shared" si="27"/>
        <v>36.526</v>
      </c>
      <c r="K448" s="2" t="str">
        <f t="shared" si="27"/>
        <v>0.3316</v>
      </c>
      <c r="L448" s="3">
        <v>12.98</v>
      </c>
      <c r="M448">
        <f>((13.23-L448)/13.23)*100</f>
        <v>1.8896447467876041</v>
      </c>
    </row>
    <row r="449" spans="1:13" x14ac:dyDescent="0.35">
      <c r="A449" s="1" t="s">
        <v>34</v>
      </c>
      <c r="B449" t="str">
        <f t="shared" si="25"/>
        <v>C288</v>
      </c>
      <c r="C449" t="str">
        <f t="shared" si="28"/>
        <v>C</v>
      </c>
      <c r="D449" t="s">
        <v>4</v>
      </c>
      <c r="E449">
        <v>8</v>
      </c>
      <c r="F449" s="2" t="s">
        <v>1480</v>
      </c>
      <c r="G449" s="2" t="s">
        <v>1481</v>
      </c>
      <c r="H449" s="2" t="s">
        <v>1482</v>
      </c>
      <c r="I449" s="2" t="str">
        <f t="shared" si="26"/>
        <v>0.601</v>
      </c>
      <c r="J449" s="2" t="str">
        <f t="shared" si="27"/>
        <v>34.940</v>
      </c>
      <c r="K449" s="2" t="str">
        <f t="shared" si="27"/>
        <v>0.3061</v>
      </c>
      <c r="L449" s="3">
        <v>10.39</v>
      </c>
      <c r="M449">
        <f>((10.74-L449)/10.74)*100</f>
        <v>3.258845437616384</v>
      </c>
    </row>
    <row r="450" spans="1:13" x14ac:dyDescent="0.35">
      <c r="A450" s="1" t="s">
        <v>35</v>
      </c>
      <c r="B450" t="str">
        <f t="shared" si="25"/>
        <v>C298</v>
      </c>
      <c r="C450" t="str">
        <f t="shared" si="28"/>
        <v>C</v>
      </c>
      <c r="D450" t="s">
        <v>4</v>
      </c>
      <c r="E450">
        <v>8</v>
      </c>
      <c r="F450" s="2" t="s">
        <v>1483</v>
      </c>
      <c r="G450" s="2" t="s">
        <v>1484</v>
      </c>
      <c r="H450" s="2" t="s">
        <v>1485</v>
      </c>
      <c r="I450" s="2" t="str">
        <f t="shared" si="26"/>
        <v>0.968</v>
      </c>
      <c r="J450" s="2" t="str">
        <f t="shared" si="27"/>
        <v>35.948</v>
      </c>
      <c r="K450" s="2" t="str">
        <f t="shared" si="27"/>
        <v>0.4755</v>
      </c>
      <c r="L450" s="3">
        <v>11.38</v>
      </c>
      <c r="M450">
        <f>((11.59-L450)/11.59)*100</f>
        <v>1.811906816220872</v>
      </c>
    </row>
    <row r="451" spans="1:13" x14ac:dyDescent="0.35">
      <c r="A451" s="1" t="s">
        <v>36</v>
      </c>
      <c r="B451" t="str">
        <f t="shared" ref="B451:B514" si="29">CONCATENATE(C451,A451,E451)</f>
        <v>C308</v>
      </c>
      <c r="C451" t="str">
        <f t="shared" si="28"/>
        <v>C</v>
      </c>
      <c r="D451" t="s">
        <v>4</v>
      </c>
      <c r="E451">
        <v>8</v>
      </c>
      <c r="F451" s="2" t="s">
        <v>1486</v>
      </c>
      <c r="G451" s="2" t="s">
        <v>1487</v>
      </c>
      <c r="H451" s="2" t="s">
        <v>1488</v>
      </c>
      <c r="I451" s="2" t="str">
        <f t="shared" ref="I451:I514" si="30">LEFT(F451,5)</f>
        <v>0.902</v>
      </c>
      <c r="J451" s="2" t="str">
        <f t="shared" si="27"/>
        <v>34.911</v>
      </c>
      <c r="K451" s="2" t="str">
        <f t="shared" si="27"/>
        <v>0.4583</v>
      </c>
      <c r="L451" s="3">
        <v>9.0399999999999991</v>
      </c>
      <c r="M451">
        <f>((9.38-L451)/9.38)*100</f>
        <v>3.6247334754797613</v>
      </c>
    </row>
    <row r="452" spans="1:13" x14ac:dyDescent="0.35">
      <c r="A452" s="1" t="s">
        <v>7</v>
      </c>
      <c r="B452" t="str">
        <f t="shared" si="29"/>
        <v>R018</v>
      </c>
      <c r="C452" t="str">
        <f t="shared" si="28"/>
        <v>R</v>
      </c>
      <c r="D452" t="s">
        <v>5</v>
      </c>
      <c r="E452">
        <v>8</v>
      </c>
      <c r="F452" s="2" t="s">
        <v>448</v>
      </c>
      <c r="G452" s="2" t="s">
        <v>449</v>
      </c>
      <c r="H452" s="2" t="s">
        <v>450</v>
      </c>
      <c r="I452" s="2" t="str">
        <f t="shared" si="30"/>
        <v>1.232</v>
      </c>
      <c r="J452" s="2" t="str">
        <f t="shared" si="27"/>
        <v>39.244</v>
      </c>
      <c r="K452" s="2" t="str">
        <f t="shared" si="27"/>
        <v>0.5555</v>
      </c>
      <c r="L452" s="3">
        <v>9.5</v>
      </c>
      <c r="M452">
        <f>((10.2-L452)/10.2)*100</f>
        <v>6.8627450980392091</v>
      </c>
    </row>
    <row r="453" spans="1:13" x14ac:dyDescent="0.35">
      <c r="A453" s="1" t="s">
        <v>8</v>
      </c>
      <c r="B453" t="str">
        <f t="shared" si="29"/>
        <v>R028</v>
      </c>
      <c r="C453" t="str">
        <f t="shared" si="28"/>
        <v>R</v>
      </c>
      <c r="D453" t="s">
        <v>5</v>
      </c>
      <c r="E453">
        <v>8</v>
      </c>
      <c r="F453" s="2" t="s">
        <v>1312</v>
      </c>
      <c r="G453" s="2" t="s">
        <v>1313</v>
      </c>
      <c r="H453" s="2" t="s">
        <v>1314</v>
      </c>
      <c r="I453" s="2" t="str">
        <f t="shared" si="30"/>
        <v>0.764</v>
      </c>
      <c r="J453" s="2" t="str">
        <f t="shared" ref="J453:K516" si="31">LEFT(G453,6)</f>
        <v>31.764</v>
      </c>
      <c r="K453" s="2" t="str">
        <f t="shared" si="31"/>
        <v>0.4298</v>
      </c>
      <c r="L453" s="3">
        <v>8.31</v>
      </c>
      <c r="M453">
        <f>((8.9-L453)/8.9)*100</f>
        <v>6.6292134831460654</v>
      </c>
    </row>
    <row r="454" spans="1:13" x14ac:dyDescent="0.35">
      <c r="A454" s="1" t="s">
        <v>21</v>
      </c>
      <c r="B454" t="str">
        <f t="shared" si="29"/>
        <v>R038</v>
      </c>
      <c r="C454" t="str">
        <f t="shared" si="28"/>
        <v>R</v>
      </c>
      <c r="D454" t="s">
        <v>5</v>
      </c>
      <c r="E454">
        <v>8</v>
      </c>
      <c r="F454" s="2" t="s">
        <v>1315</v>
      </c>
      <c r="G454" s="2" t="s">
        <v>1316</v>
      </c>
      <c r="H454" s="2" t="s">
        <v>1317</v>
      </c>
      <c r="I454" s="2" t="str">
        <f t="shared" si="30"/>
        <v>1.002</v>
      </c>
      <c r="J454" s="2" t="str">
        <f t="shared" si="31"/>
        <v>36.167</v>
      </c>
      <c r="K454" s="2" t="str">
        <f t="shared" si="31"/>
        <v>0.4900</v>
      </c>
      <c r="L454" s="3">
        <v>7.24</v>
      </c>
      <c r="M454">
        <f>((7.72-L454)/7.72)*100</f>
        <v>6.2176165803108754</v>
      </c>
    </row>
    <row r="455" spans="1:13" x14ac:dyDescent="0.35">
      <c r="A455" s="1" t="s">
        <v>9</v>
      </c>
      <c r="B455" t="str">
        <f t="shared" si="29"/>
        <v>R048</v>
      </c>
      <c r="C455" t="str">
        <f t="shared" si="28"/>
        <v>R</v>
      </c>
      <c r="D455" t="s">
        <v>5</v>
      </c>
      <c r="E455">
        <v>8</v>
      </c>
      <c r="F455" s="2" t="s">
        <v>1318</v>
      </c>
      <c r="G455" s="2" t="s">
        <v>1319</v>
      </c>
      <c r="H455" s="2" t="s">
        <v>1320</v>
      </c>
      <c r="I455" s="2" t="str">
        <f t="shared" si="30"/>
        <v>0.823</v>
      </c>
      <c r="J455" s="2" t="str">
        <f t="shared" si="31"/>
        <v>33.999</v>
      </c>
      <c r="K455" s="2" t="str">
        <f t="shared" si="31"/>
        <v>0.4288</v>
      </c>
      <c r="L455" s="3">
        <v>6.2</v>
      </c>
      <c r="M455">
        <f>((6.71-L455)/6.71)*100</f>
        <v>7.6005961251862857</v>
      </c>
    </row>
    <row r="456" spans="1:13" x14ac:dyDescent="0.35">
      <c r="A456" s="1" t="s">
        <v>10</v>
      </c>
      <c r="B456" t="str">
        <f t="shared" si="29"/>
        <v>R058</v>
      </c>
      <c r="C456" t="str">
        <f t="shared" si="28"/>
        <v>R</v>
      </c>
      <c r="D456" t="s">
        <v>5</v>
      </c>
      <c r="E456">
        <v>8</v>
      </c>
      <c r="F456" s="2" t="s">
        <v>1321</v>
      </c>
      <c r="G456" s="2" t="s">
        <v>1322</v>
      </c>
      <c r="H456" s="2" t="s">
        <v>1323</v>
      </c>
      <c r="I456" s="2" t="str">
        <f t="shared" si="30"/>
        <v>0.833</v>
      </c>
      <c r="J456" s="2" t="str">
        <f t="shared" si="31"/>
        <v>27.996</v>
      </c>
      <c r="K456" s="2" t="str">
        <f t="shared" si="31"/>
        <v>0.5311</v>
      </c>
      <c r="L456" s="3">
        <v>7</v>
      </c>
      <c r="M456">
        <f>((7.58-L456)/7.58)*100</f>
        <v>7.6517150395778373</v>
      </c>
    </row>
    <row r="457" spans="1:13" x14ac:dyDescent="0.35">
      <c r="A457" s="1" t="s">
        <v>11</v>
      </c>
      <c r="B457" t="str">
        <f t="shared" si="29"/>
        <v>R068</v>
      </c>
      <c r="C457" t="str">
        <f t="shared" si="28"/>
        <v>R</v>
      </c>
      <c r="D457" t="s">
        <v>5</v>
      </c>
      <c r="E457">
        <v>8</v>
      </c>
      <c r="F457" s="2" t="s">
        <v>1324</v>
      </c>
      <c r="G457" s="2" t="s">
        <v>1325</v>
      </c>
      <c r="H457" s="2" t="s">
        <v>1326</v>
      </c>
      <c r="I457" s="2" t="str">
        <f t="shared" si="30"/>
        <v>0.816</v>
      </c>
      <c r="J457" s="2" t="str">
        <f t="shared" si="31"/>
        <v>31.952</v>
      </c>
      <c r="K457" s="2" t="str">
        <f t="shared" si="31"/>
        <v>0.4575</v>
      </c>
      <c r="L457" s="3">
        <v>7.86</v>
      </c>
      <c r="M457">
        <f>((8.47-L457)/8.47)*100</f>
        <v>7.2018890200708414</v>
      </c>
    </row>
    <row r="458" spans="1:13" x14ac:dyDescent="0.35">
      <c r="A458" s="1" t="s">
        <v>12</v>
      </c>
      <c r="B458" t="str">
        <f t="shared" si="29"/>
        <v>R078</v>
      </c>
      <c r="C458" t="str">
        <f t="shared" si="28"/>
        <v>R</v>
      </c>
      <c r="D458" t="s">
        <v>5</v>
      </c>
      <c r="E458">
        <v>8</v>
      </c>
      <c r="F458" s="2" t="s">
        <v>1327</v>
      </c>
      <c r="G458" s="2" t="s">
        <v>1328</v>
      </c>
      <c r="H458" s="2" t="s">
        <v>1329</v>
      </c>
      <c r="I458" s="2" t="str">
        <f t="shared" si="30"/>
        <v>0.439</v>
      </c>
      <c r="J458" s="2" t="str">
        <f t="shared" si="31"/>
        <v>31.811</v>
      </c>
      <c r="K458" s="2" t="str">
        <f t="shared" si="31"/>
        <v>0.2452</v>
      </c>
      <c r="L458" s="3">
        <v>9.14</v>
      </c>
      <c r="M458">
        <f>((9.75-L458)/9.75)*100</f>
        <v>6.2564102564102511</v>
      </c>
    </row>
    <row r="459" spans="1:13" x14ac:dyDescent="0.35">
      <c r="A459" s="1" t="s">
        <v>13</v>
      </c>
      <c r="B459" t="str">
        <f t="shared" si="29"/>
        <v>R088</v>
      </c>
      <c r="C459" t="str">
        <f t="shared" si="28"/>
        <v>R</v>
      </c>
      <c r="D459" t="s">
        <v>5</v>
      </c>
      <c r="E459">
        <v>8</v>
      </c>
      <c r="F459" s="2" t="s">
        <v>1330</v>
      </c>
      <c r="G459" s="2" t="s">
        <v>1331</v>
      </c>
      <c r="H459" s="2" t="s">
        <v>1332</v>
      </c>
      <c r="I459" s="2" t="str">
        <f t="shared" si="30"/>
        <v>0.569</v>
      </c>
      <c r="J459" s="2" t="str">
        <f t="shared" si="31"/>
        <v>31.750</v>
      </c>
      <c r="K459" s="2" t="str">
        <f t="shared" si="31"/>
        <v>0.3211</v>
      </c>
      <c r="L459" s="3">
        <v>9.9700000000000006</v>
      </c>
      <c r="M459">
        <f>((10.46-L459)/10.46)*100</f>
        <v>4.6845124282982802</v>
      </c>
    </row>
    <row r="460" spans="1:13" x14ac:dyDescent="0.35">
      <c r="A460" s="1" t="s">
        <v>14</v>
      </c>
      <c r="B460" t="str">
        <f t="shared" si="29"/>
        <v>R098</v>
      </c>
      <c r="C460" t="str">
        <f t="shared" si="28"/>
        <v>R</v>
      </c>
      <c r="D460" t="s">
        <v>5</v>
      </c>
      <c r="E460">
        <v>8</v>
      </c>
      <c r="F460" s="2" t="s">
        <v>1333</v>
      </c>
      <c r="G460" s="2" t="s">
        <v>1334</v>
      </c>
      <c r="H460" s="2" t="s">
        <v>1335</v>
      </c>
      <c r="I460" s="2" t="str">
        <f t="shared" si="30"/>
        <v>0.981</v>
      </c>
      <c r="J460" s="2" t="str">
        <f t="shared" si="31"/>
        <v>33.333</v>
      </c>
      <c r="K460" s="2" t="str">
        <f t="shared" si="31"/>
        <v>0.5213</v>
      </c>
      <c r="L460" s="3">
        <v>9.02</v>
      </c>
      <c r="M460">
        <f>((9.52-L460)/9.52)*100</f>
        <v>5.2521008403361344</v>
      </c>
    </row>
    <row r="461" spans="1:13" x14ac:dyDescent="0.35">
      <c r="A461" s="1" t="s">
        <v>15</v>
      </c>
      <c r="B461" t="str">
        <f t="shared" si="29"/>
        <v>R108</v>
      </c>
      <c r="C461" t="str">
        <f t="shared" si="28"/>
        <v>R</v>
      </c>
      <c r="D461" t="s">
        <v>5</v>
      </c>
      <c r="E461">
        <v>8</v>
      </c>
      <c r="F461" s="2" t="s">
        <v>1336</v>
      </c>
      <c r="G461" s="2" t="s">
        <v>1337</v>
      </c>
      <c r="H461" s="2" t="s">
        <v>1338</v>
      </c>
      <c r="I461" s="2" t="str">
        <f t="shared" si="30"/>
        <v>0.685</v>
      </c>
      <c r="J461" s="2" t="str">
        <f t="shared" si="31"/>
        <v>29.284</v>
      </c>
      <c r="K461" s="2" t="str">
        <f t="shared" si="31"/>
        <v>0.4141</v>
      </c>
      <c r="L461" s="3">
        <v>13.97</v>
      </c>
      <c r="M461">
        <f>((14.55-L461)/14.55)*100</f>
        <v>3.9862542955326465</v>
      </c>
    </row>
    <row r="462" spans="1:13" x14ac:dyDescent="0.35">
      <c r="A462" s="1" t="s">
        <v>16</v>
      </c>
      <c r="B462" t="str">
        <f t="shared" si="29"/>
        <v>R118</v>
      </c>
      <c r="C462" t="str">
        <f t="shared" si="28"/>
        <v>R</v>
      </c>
      <c r="D462" t="s">
        <v>5</v>
      </c>
      <c r="E462">
        <v>8</v>
      </c>
      <c r="F462" s="2" t="s">
        <v>1339</v>
      </c>
      <c r="G462" s="2" t="s">
        <v>1340</v>
      </c>
      <c r="H462" s="2" t="s">
        <v>1341</v>
      </c>
      <c r="I462" s="2" t="str">
        <f t="shared" si="30"/>
        <v>0.413</v>
      </c>
      <c r="J462" s="2" t="str">
        <f t="shared" si="31"/>
        <v>34.762</v>
      </c>
      <c r="K462" s="2" t="str">
        <f t="shared" si="31"/>
        <v>0.2104</v>
      </c>
      <c r="L462" s="3">
        <v>8.3699999999999992</v>
      </c>
      <c r="M462">
        <f>((8.99-L462)/8.99)*100</f>
        <v>6.8965517241379422</v>
      </c>
    </row>
    <row r="463" spans="1:13" x14ac:dyDescent="0.35">
      <c r="A463" s="1" t="s">
        <v>17</v>
      </c>
      <c r="B463" t="str">
        <f t="shared" si="29"/>
        <v>R128</v>
      </c>
      <c r="C463" t="str">
        <f t="shared" si="28"/>
        <v>R</v>
      </c>
      <c r="D463" t="s">
        <v>5</v>
      </c>
      <c r="E463">
        <v>8</v>
      </c>
      <c r="F463" s="2" t="s">
        <v>1342</v>
      </c>
      <c r="G463" s="2" t="s">
        <v>1343</v>
      </c>
      <c r="H463" s="2" t="s">
        <v>1344</v>
      </c>
      <c r="I463" s="2" t="str">
        <f t="shared" si="30"/>
        <v>1.163</v>
      </c>
      <c r="J463" s="2" t="str">
        <f t="shared" si="31"/>
        <v>35.966</v>
      </c>
      <c r="K463" s="2" t="str">
        <f t="shared" si="31"/>
        <v>0.5727</v>
      </c>
      <c r="L463" s="3">
        <v>8.9600000000000009</v>
      </c>
      <c r="M463">
        <f>((9.52-L463)/9.52)*100</f>
        <v>5.8823529411764577</v>
      </c>
    </row>
    <row r="464" spans="1:13" x14ac:dyDescent="0.35">
      <c r="A464" s="1" t="s">
        <v>18</v>
      </c>
      <c r="B464" t="str">
        <f t="shared" si="29"/>
        <v>R138</v>
      </c>
      <c r="C464" t="str">
        <f t="shared" si="28"/>
        <v>R</v>
      </c>
      <c r="D464" t="s">
        <v>5</v>
      </c>
      <c r="E464">
        <v>8</v>
      </c>
      <c r="F464" s="2" t="s">
        <v>1345</v>
      </c>
      <c r="G464" s="2" t="s">
        <v>1346</v>
      </c>
      <c r="H464" s="2" t="s">
        <v>1347</v>
      </c>
      <c r="I464" s="2" t="str">
        <f t="shared" si="30"/>
        <v>0.745</v>
      </c>
      <c r="J464" s="2" t="str">
        <f t="shared" si="31"/>
        <v>35.892</v>
      </c>
      <c r="K464" s="2" t="str">
        <f t="shared" si="31"/>
        <v>0.3761</v>
      </c>
      <c r="L464" s="3">
        <v>9.7100000000000009</v>
      </c>
      <c r="M464">
        <f>((10.58-L464)/10.58)*100</f>
        <v>8.2230623818525448</v>
      </c>
    </row>
    <row r="465" spans="1:13" x14ac:dyDescent="0.35">
      <c r="A465" s="1" t="s">
        <v>19</v>
      </c>
      <c r="B465" t="str">
        <f t="shared" si="29"/>
        <v>R148</v>
      </c>
      <c r="C465" t="str">
        <f t="shared" si="28"/>
        <v>R</v>
      </c>
      <c r="D465" t="s">
        <v>5</v>
      </c>
      <c r="E465">
        <v>8</v>
      </c>
      <c r="F465" s="2" t="s">
        <v>1348</v>
      </c>
      <c r="G465" s="2" t="s">
        <v>1349</v>
      </c>
      <c r="H465" s="2" t="s">
        <v>1350</v>
      </c>
      <c r="I465" s="2" t="str">
        <f t="shared" si="30"/>
        <v>0.910</v>
      </c>
      <c r="J465" s="2" t="str">
        <f t="shared" si="31"/>
        <v>37.778</v>
      </c>
      <c r="K465" s="2" t="str">
        <f t="shared" si="31"/>
        <v>0.4261</v>
      </c>
      <c r="L465" s="3">
        <v>10.49</v>
      </c>
      <c r="M465">
        <f>((11.2-L465)/11.2)*100</f>
        <v>6.3392857142857073</v>
      </c>
    </row>
    <row r="466" spans="1:13" x14ac:dyDescent="0.35">
      <c r="A466" s="1" t="s">
        <v>20</v>
      </c>
      <c r="B466" t="str">
        <f t="shared" si="29"/>
        <v>R158</v>
      </c>
      <c r="C466" t="str">
        <f t="shared" si="28"/>
        <v>R</v>
      </c>
      <c r="D466" t="s">
        <v>5</v>
      </c>
      <c r="E466">
        <v>8</v>
      </c>
      <c r="F466" s="2" t="s">
        <v>1351</v>
      </c>
      <c r="G466" s="2" t="s">
        <v>1352</v>
      </c>
      <c r="H466" s="2" t="s">
        <v>1353</v>
      </c>
      <c r="I466" s="2" t="str">
        <f t="shared" si="30"/>
        <v>0.773</v>
      </c>
      <c r="J466" s="2" t="str">
        <f t="shared" si="31"/>
        <v>34.907</v>
      </c>
      <c r="K466" s="2" t="str">
        <f t="shared" si="31"/>
        <v>0.3929</v>
      </c>
      <c r="L466" s="3">
        <v>9.69</v>
      </c>
      <c r="M466">
        <f>((10.33-L466)/10.33)*100</f>
        <v>6.1955469506292413</v>
      </c>
    </row>
    <row r="467" spans="1:13" x14ac:dyDescent="0.35">
      <c r="A467" s="1" t="s">
        <v>22</v>
      </c>
      <c r="B467" t="str">
        <f t="shared" si="29"/>
        <v>R168</v>
      </c>
      <c r="C467" t="str">
        <f t="shared" si="28"/>
        <v>R</v>
      </c>
      <c r="D467" t="s">
        <v>5</v>
      </c>
      <c r="E467">
        <v>8</v>
      </c>
      <c r="F467" s="2" t="s">
        <v>1354</v>
      </c>
      <c r="G467" s="2" t="s">
        <v>1355</v>
      </c>
      <c r="H467" s="2" t="s">
        <v>1356</v>
      </c>
      <c r="I467" s="2" t="str">
        <f t="shared" si="30"/>
        <v>0.826</v>
      </c>
      <c r="J467" s="2" t="str">
        <f t="shared" si="31"/>
        <v>35.624</v>
      </c>
      <c r="K467" s="2" t="str">
        <f t="shared" si="31"/>
        <v>0.4103</v>
      </c>
      <c r="L467" s="3">
        <v>7.81</v>
      </c>
      <c r="M467">
        <f>((8.36-L467)/8.36)*100</f>
        <v>6.5789473684210513</v>
      </c>
    </row>
    <row r="468" spans="1:13" x14ac:dyDescent="0.35">
      <c r="A468" s="1" t="s">
        <v>23</v>
      </c>
      <c r="B468" t="str">
        <f t="shared" si="29"/>
        <v>R178</v>
      </c>
      <c r="C468" t="str">
        <f t="shared" si="28"/>
        <v>R</v>
      </c>
      <c r="D468" t="s">
        <v>5</v>
      </c>
      <c r="E468">
        <v>8</v>
      </c>
      <c r="F468" s="2" t="s">
        <v>1357</v>
      </c>
      <c r="G468" s="2" t="s">
        <v>1358</v>
      </c>
      <c r="H468" s="2" t="s">
        <v>1359</v>
      </c>
      <c r="I468" s="2" t="str">
        <f t="shared" si="30"/>
        <v>0.508</v>
      </c>
      <c r="J468" s="2" t="str">
        <f t="shared" si="31"/>
        <v>35.762</v>
      </c>
      <c r="K468" s="2" t="str">
        <f t="shared" si="31"/>
        <v>0.2551</v>
      </c>
      <c r="L468" s="3">
        <v>10.220000000000001</v>
      </c>
      <c r="M468">
        <f>((10.97-L468)/10.97)*100</f>
        <v>6.8368277119416589</v>
      </c>
    </row>
    <row r="469" spans="1:13" x14ac:dyDescent="0.35">
      <c r="A469" s="1" t="s">
        <v>24</v>
      </c>
      <c r="B469" t="str">
        <f t="shared" si="29"/>
        <v>R188</v>
      </c>
      <c r="C469" t="str">
        <f t="shared" si="28"/>
        <v>R</v>
      </c>
      <c r="D469" t="s">
        <v>5</v>
      </c>
      <c r="E469">
        <v>8</v>
      </c>
      <c r="F469" s="2" t="s">
        <v>1360</v>
      </c>
      <c r="G469" s="2" t="s">
        <v>1361</v>
      </c>
      <c r="H469" s="2" t="s">
        <v>1362</v>
      </c>
      <c r="I469" s="2" t="str">
        <f t="shared" si="30"/>
        <v>0.947</v>
      </c>
      <c r="J469" s="2" t="str">
        <f t="shared" si="31"/>
        <v>36.100</v>
      </c>
      <c r="K469" s="2" t="str">
        <f t="shared" si="31"/>
        <v>0.4652</v>
      </c>
      <c r="L469" s="5">
        <v>7.45</v>
      </c>
      <c r="M469">
        <f>((8.03-L469)/8.03)*100</f>
        <v>7.2229140722291305</v>
      </c>
    </row>
    <row r="470" spans="1:13" x14ac:dyDescent="0.35">
      <c r="A470" s="1" t="s">
        <v>25</v>
      </c>
      <c r="B470" t="str">
        <f t="shared" si="29"/>
        <v>R198</v>
      </c>
      <c r="C470" t="str">
        <f t="shared" si="28"/>
        <v>R</v>
      </c>
      <c r="D470" t="s">
        <v>5</v>
      </c>
      <c r="E470">
        <v>8</v>
      </c>
      <c r="F470" s="2" t="s">
        <v>1363</v>
      </c>
      <c r="G470" s="2" t="s">
        <v>1364</v>
      </c>
      <c r="H470" s="2" t="s">
        <v>1365</v>
      </c>
      <c r="I470" s="2" t="str">
        <f t="shared" si="30"/>
        <v>0.584</v>
      </c>
      <c r="J470" s="2" t="str">
        <f t="shared" si="31"/>
        <v>34.848</v>
      </c>
      <c r="K470" s="2" t="str">
        <f t="shared" si="31"/>
        <v>0.3000</v>
      </c>
      <c r="L470" s="5">
        <v>8.27</v>
      </c>
      <c r="M470">
        <f>((8.97-L470)/8.97)*100</f>
        <v>7.8037904124860766</v>
      </c>
    </row>
    <row r="471" spans="1:13" x14ac:dyDescent="0.35">
      <c r="A471" s="1" t="s">
        <v>26</v>
      </c>
      <c r="B471" t="str">
        <f t="shared" si="29"/>
        <v>R208</v>
      </c>
      <c r="C471" t="str">
        <f t="shared" si="28"/>
        <v>R</v>
      </c>
      <c r="D471" t="s">
        <v>5</v>
      </c>
      <c r="E471">
        <v>8</v>
      </c>
      <c r="F471" s="2" t="s">
        <v>1366</v>
      </c>
      <c r="G471" s="2" t="s">
        <v>1367</v>
      </c>
      <c r="H471" s="2" t="s">
        <v>1368</v>
      </c>
      <c r="I471" s="2" t="str">
        <f t="shared" si="30"/>
        <v>0.545</v>
      </c>
      <c r="J471" s="2" t="str">
        <f t="shared" si="31"/>
        <v>33.569</v>
      </c>
      <c r="K471" s="2" t="str">
        <f t="shared" si="31"/>
        <v>0.2868</v>
      </c>
      <c r="L471" s="3">
        <v>8.59</v>
      </c>
      <c r="M471">
        <f>((9.17-L471)/9.17)*100</f>
        <v>6.3249727371864779</v>
      </c>
    </row>
    <row r="472" spans="1:13" x14ac:dyDescent="0.35">
      <c r="A472" s="1" t="s">
        <v>27</v>
      </c>
      <c r="B472" t="str">
        <f t="shared" si="29"/>
        <v>R218</v>
      </c>
      <c r="C472" t="str">
        <f t="shared" si="28"/>
        <v>R</v>
      </c>
      <c r="D472" t="s">
        <v>5</v>
      </c>
      <c r="E472">
        <v>8</v>
      </c>
      <c r="F472" s="2" t="s">
        <v>1369</v>
      </c>
      <c r="G472" s="2" t="s">
        <v>1370</v>
      </c>
      <c r="H472" s="2" t="s">
        <v>1371</v>
      </c>
      <c r="I472" s="2" t="str">
        <f t="shared" si="30"/>
        <v>0.687</v>
      </c>
      <c r="J472" s="2" t="str">
        <f t="shared" si="31"/>
        <v>36.075</v>
      </c>
      <c r="K472" s="2" t="str">
        <f t="shared" si="31"/>
        <v>0.3373</v>
      </c>
      <c r="L472" s="3">
        <v>10.35</v>
      </c>
      <c r="M472">
        <f>((11.02-L472)/11.02)*100</f>
        <v>6.0798548094373865</v>
      </c>
    </row>
    <row r="473" spans="1:13" x14ac:dyDescent="0.35">
      <c r="A473" s="1" t="s">
        <v>28</v>
      </c>
      <c r="B473" t="str">
        <f t="shared" si="29"/>
        <v>R228</v>
      </c>
      <c r="C473" t="str">
        <f t="shared" si="28"/>
        <v>R</v>
      </c>
      <c r="D473" t="s">
        <v>5</v>
      </c>
      <c r="E473">
        <v>8</v>
      </c>
      <c r="F473" s="2" t="s">
        <v>1372</v>
      </c>
      <c r="G473" s="2" t="s">
        <v>1373</v>
      </c>
      <c r="H473" s="2" t="s">
        <v>1374</v>
      </c>
      <c r="I473" s="2" t="str">
        <f t="shared" si="30"/>
        <v>0.820</v>
      </c>
      <c r="J473" s="2" t="str">
        <f t="shared" si="31"/>
        <v>35.406</v>
      </c>
      <c r="K473" s="2" t="str">
        <f t="shared" si="31"/>
        <v>0.4102</v>
      </c>
      <c r="L473" s="3">
        <v>10.62</v>
      </c>
      <c r="M473">
        <f>((11.2-L473)/11.2)*100</f>
        <v>5.1785714285714297</v>
      </c>
    </row>
    <row r="474" spans="1:13" x14ac:dyDescent="0.35">
      <c r="A474" s="1" t="s">
        <v>29</v>
      </c>
      <c r="B474" t="str">
        <f t="shared" si="29"/>
        <v>R238</v>
      </c>
      <c r="C474" t="str">
        <f t="shared" si="28"/>
        <v>R</v>
      </c>
      <c r="D474" t="s">
        <v>5</v>
      </c>
      <c r="E474">
        <v>8</v>
      </c>
      <c r="F474" s="2" t="s">
        <v>1375</v>
      </c>
      <c r="G474" s="2" t="s">
        <v>1376</v>
      </c>
      <c r="H474" s="2" t="s">
        <v>1377</v>
      </c>
      <c r="I474" s="2" t="str">
        <f t="shared" si="30"/>
        <v>1.260</v>
      </c>
      <c r="J474" s="2" t="str">
        <f t="shared" si="31"/>
        <v>29.543</v>
      </c>
      <c r="K474" s="2" t="str">
        <f t="shared" si="31"/>
        <v>0.7562</v>
      </c>
      <c r="L474" s="3">
        <v>9.82</v>
      </c>
      <c r="M474">
        <f>((10.41-L474)/10.41)*100</f>
        <v>5.6676272814601329</v>
      </c>
    </row>
    <row r="475" spans="1:13" x14ac:dyDescent="0.35">
      <c r="A475" s="1" t="s">
        <v>30</v>
      </c>
      <c r="B475" t="str">
        <f t="shared" si="29"/>
        <v>R248</v>
      </c>
      <c r="C475" t="str">
        <f t="shared" si="28"/>
        <v>R</v>
      </c>
      <c r="D475" t="s">
        <v>5</v>
      </c>
      <c r="E475">
        <v>8</v>
      </c>
      <c r="F475" s="2" t="s">
        <v>1378</v>
      </c>
      <c r="G475" s="2" t="s">
        <v>1379</v>
      </c>
      <c r="H475" s="2" t="s">
        <v>1380</v>
      </c>
      <c r="I475" s="2" t="str">
        <f t="shared" si="30"/>
        <v>0.956</v>
      </c>
      <c r="J475" s="2" t="str">
        <f t="shared" si="31"/>
        <v>35.421</v>
      </c>
      <c r="K475" s="2" t="str">
        <f t="shared" si="31"/>
        <v>0.4789</v>
      </c>
      <c r="L475" s="3">
        <v>11.16</v>
      </c>
      <c r="M475">
        <f>((11.96-L475)/11.96)*100</f>
        <v>6.6889632107023465</v>
      </c>
    </row>
    <row r="476" spans="1:13" x14ac:dyDescent="0.35">
      <c r="A476" s="1" t="s">
        <v>31</v>
      </c>
      <c r="B476" t="str">
        <f t="shared" si="29"/>
        <v>R258</v>
      </c>
      <c r="C476" t="str">
        <f t="shared" si="28"/>
        <v>R</v>
      </c>
      <c r="D476" t="s">
        <v>5</v>
      </c>
      <c r="E476">
        <v>8</v>
      </c>
      <c r="F476" s="2" t="s">
        <v>1381</v>
      </c>
      <c r="G476" s="2" t="s">
        <v>1382</v>
      </c>
      <c r="H476" s="2" t="s">
        <v>1383</v>
      </c>
      <c r="I476" s="2" t="str">
        <f t="shared" si="30"/>
        <v>0.707</v>
      </c>
      <c r="J476" s="2" t="str">
        <f t="shared" si="31"/>
        <v>35.964</v>
      </c>
      <c r="K476" s="2" t="str">
        <f t="shared" si="31"/>
        <v>0.3479</v>
      </c>
      <c r="L476" s="3">
        <v>11</v>
      </c>
      <c r="M476">
        <f>((11.77-L476)/11.77)*100</f>
        <v>6.5420560747663519</v>
      </c>
    </row>
    <row r="477" spans="1:13" x14ac:dyDescent="0.35">
      <c r="A477" s="1" t="s">
        <v>32</v>
      </c>
      <c r="B477" t="str">
        <f t="shared" si="29"/>
        <v>R268</v>
      </c>
      <c r="C477" t="str">
        <f t="shared" si="28"/>
        <v>R</v>
      </c>
      <c r="D477" t="s">
        <v>5</v>
      </c>
      <c r="E477">
        <v>8</v>
      </c>
      <c r="F477" s="2" t="s">
        <v>1384</v>
      </c>
      <c r="G477" s="2" t="s">
        <v>1385</v>
      </c>
      <c r="H477" s="2" t="s">
        <v>1386</v>
      </c>
      <c r="I477" s="2" t="str">
        <f t="shared" si="30"/>
        <v>0.865</v>
      </c>
      <c r="J477" s="2" t="str">
        <f t="shared" si="31"/>
        <v>37.062</v>
      </c>
      <c r="K477" s="2" t="str">
        <f t="shared" si="31"/>
        <v>0.4134</v>
      </c>
      <c r="L477" s="3">
        <v>12</v>
      </c>
      <c r="M477">
        <f>((12.72-L477)/12.72)*100</f>
        <v>5.660377358490571</v>
      </c>
    </row>
    <row r="478" spans="1:13" x14ac:dyDescent="0.35">
      <c r="A478" s="1" t="s">
        <v>33</v>
      </c>
      <c r="B478" t="str">
        <f t="shared" si="29"/>
        <v>R278</v>
      </c>
      <c r="C478" t="str">
        <f t="shared" si="28"/>
        <v>R</v>
      </c>
      <c r="D478" t="s">
        <v>5</v>
      </c>
      <c r="E478">
        <v>8</v>
      </c>
      <c r="F478" s="2" t="s">
        <v>1387</v>
      </c>
      <c r="G478" s="2" t="s">
        <v>1388</v>
      </c>
      <c r="H478" s="2" t="s">
        <v>1389</v>
      </c>
      <c r="I478" s="2" t="str">
        <f t="shared" si="30"/>
        <v>1.017</v>
      </c>
      <c r="J478" s="2" t="str">
        <f t="shared" si="31"/>
        <v>34.085</v>
      </c>
      <c r="K478" s="2" t="str">
        <f t="shared" si="31"/>
        <v>0.5328</v>
      </c>
      <c r="L478" s="3">
        <v>12.28</v>
      </c>
      <c r="M478">
        <f>((13.02-L478)/13.02)*100</f>
        <v>5.6835637480798793</v>
      </c>
    </row>
    <row r="479" spans="1:13" x14ac:dyDescent="0.35">
      <c r="A479" s="1" t="s">
        <v>34</v>
      </c>
      <c r="B479" t="str">
        <f t="shared" si="29"/>
        <v>R288</v>
      </c>
      <c r="C479" t="str">
        <f t="shared" si="28"/>
        <v>R</v>
      </c>
      <c r="D479" t="s">
        <v>5</v>
      </c>
      <c r="E479">
        <v>8</v>
      </c>
      <c r="F479" s="2" t="s">
        <v>1390</v>
      </c>
      <c r="G479" s="2" t="s">
        <v>1391</v>
      </c>
      <c r="H479" s="2" t="s">
        <v>1392</v>
      </c>
      <c r="I479" s="2" t="str">
        <f t="shared" si="30"/>
        <v>0.905</v>
      </c>
      <c r="J479" s="2" t="str">
        <f t="shared" si="31"/>
        <v>33.013</v>
      </c>
      <c r="K479" s="2" t="str">
        <f t="shared" si="31"/>
        <v>0.4857</v>
      </c>
      <c r="L479" s="3">
        <v>9.5299999999999994</v>
      </c>
      <c r="M479">
        <f>((10.13-L479)/10.13)*100</f>
        <v>5.9230009871668443</v>
      </c>
    </row>
    <row r="480" spans="1:13" x14ac:dyDescent="0.35">
      <c r="A480" s="1" t="s">
        <v>35</v>
      </c>
      <c r="B480" t="str">
        <f t="shared" si="29"/>
        <v>R298</v>
      </c>
      <c r="C480" t="str">
        <f t="shared" si="28"/>
        <v>R</v>
      </c>
      <c r="D480" t="s">
        <v>5</v>
      </c>
      <c r="E480">
        <v>8</v>
      </c>
      <c r="F480" s="2" t="s">
        <v>1393</v>
      </c>
      <c r="G480" s="2" t="s">
        <v>1394</v>
      </c>
      <c r="H480" s="2" t="s">
        <v>1395</v>
      </c>
      <c r="I480" s="2" t="str">
        <f t="shared" si="30"/>
        <v>0.844</v>
      </c>
      <c r="J480" s="2" t="str">
        <f t="shared" si="31"/>
        <v>35.551</v>
      </c>
      <c r="K480" s="2" t="str">
        <f t="shared" si="31"/>
        <v>0.4237</v>
      </c>
      <c r="L480" s="3">
        <v>7.61</v>
      </c>
      <c r="M480">
        <f>((8.49-L480)/8.49)*100</f>
        <v>10.365135453474675</v>
      </c>
    </row>
    <row r="481" spans="1:13" x14ac:dyDescent="0.35">
      <c r="A481" s="1" t="s">
        <v>36</v>
      </c>
      <c r="B481" t="str">
        <f t="shared" si="29"/>
        <v>R308</v>
      </c>
      <c r="C481" t="str">
        <f t="shared" si="28"/>
        <v>R</v>
      </c>
      <c r="D481" t="s">
        <v>5</v>
      </c>
      <c r="E481">
        <v>8</v>
      </c>
      <c r="F481" s="2" t="s">
        <v>1396</v>
      </c>
      <c r="G481" s="2" t="s">
        <v>1397</v>
      </c>
      <c r="H481" s="2" t="s">
        <v>1398</v>
      </c>
      <c r="I481" s="2" t="str">
        <f t="shared" si="30"/>
        <v>0.588</v>
      </c>
      <c r="J481" s="2" t="str">
        <f t="shared" si="31"/>
        <v>33.743</v>
      </c>
      <c r="K481" s="2" t="str">
        <f t="shared" si="31"/>
        <v>0.3096</v>
      </c>
      <c r="L481" s="5">
        <v>7</v>
      </c>
      <c r="M481">
        <f>((7.78-L481)/7.78)*100</f>
        <v>10.02570694087404</v>
      </c>
    </row>
    <row r="482" spans="1:13" x14ac:dyDescent="0.35">
      <c r="A482" s="1" t="s">
        <v>7</v>
      </c>
      <c r="B482" t="str">
        <f t="shared" si="29"/>
        <v>C019</v>
      </c>
      <c r="C482" t="str">
        <f t="shared" si="28"/>
        <v>C</v>
      </c>
      <c r="D482" t="s">
        <v>4</v>
      </c>
      <c r="E482">
        <v>9</v>
      </c>
      <c r="F482" s="2" t="s">
        <v>1576</v>
      </c>
      <c r="G482" s="2" t="s">
        <v>1577</v>
      </c>
      <c r="H482" s="2" t="s">
        <v>1578</v>
      </c>
      <c r="I482" s="2" t="str">
        <f t="shared" si="30"/>
        <v>0.954</v>
      </c>
      <c r="J482" s="2" t="str">
        <f t="shared" si="31"/>
        <v>37.258</v>
      </c>
      <c r="K482" s="2" t="str">
        <f t="shared" si="31"/>
        <v>0.4528</v>
      </c>
      <c r="L482" s="3">
        <v>10.31</v>
      </c>
      <c r="M482">
        <f>((10.71-L482)/10.71)*100</f>
        <v>3.7348272642390317</v>
      </c>
    </row>
    <row r="483" spans="1:13" x14ac:dyDescent="0.35">
      <c r="A483" s="1" t="s">
        <v>8</v>
      </c>
      <c r="B483" t="str">
        <f t="shared" si="29"/>
        <v>C029</v>
      </c>
      <c r="C483" t="str">
        <f t="shared" si="28"/>
        <v>C</v>
      </c>
      <c r="D483" t="s">
        <v>4</v>
      </c>
      <c r="E483">
        <v>9</v>
      </c>
      <c r="F483" s="2" t="s">
        <v>1579</v>
      </c>
      <c r="G483" s="2" t="s">
        <v>1580</v>
      </c>
      <c r="H483" s="2" t="s">
        <v>1581</v>
      </c>
      <c r="I483" s="2" t="str">
        <f t="shared" si="30"/>
        <v>0.987</v>
      </c>
      <c r="J483" s="2" t="str">
        <f t="shared" si="31"/>
        <v>35.589</v>
      </c>
      <c r="K483" s="2" t="str">
        <f t="shared" si="31"/>
        <v>0.4916</v>
      </c>
      <c r="L483" s="3">
        <v>10.7</v>
      </c>
      <c r="M483">
        <f>((11.03-L483)/11.03)*100</f>
        <v>2.9918404351767913</v>
      </c>
    </row>
    <row r="484" spans="1:13" x14ac:dyDescent="0.35">
      <c r="A484" s="1" t="s">
        <v>21</v>
      </c>
      <c r="B484" t="str">
        <f t="shared" si="29"/>
        <v>C039</v>
      </c>
      <c r="C484" t="str">
        <f t="shared" si="28"/>
        <v>C</v>
      </c>
      <c r="D484" t="s">
        <v>4</v>
      </c>
      <c r="E484">
        <v>9</v>
      </c>
      <c r="F484" s="2" t="s">
        <v>1582</v>
      </c>
      <c r="G484" s="2" t="s">
        <v>1583</v>
      </c>
      <c r="H484" s="2" t="s">
        <v>1584</v>
      </c>
      <c r="I484" s="2" t="str">
        <f t="shared" si="30"/>
        <v>0.534</v>
      </c>
      <c r="J484" s="2" t="str">
        <f t="shared" si="31"/>
        <v>33.523</v>
      </c>
      <c r="K484" s="2" t="str">
        <f t="shared" si="31"/>
        <v>0.2822</v>
      </c>
      <c r="L484" s="3">
        <v>8.65</v>
      </c>
      <c r="M484">
        <f>((8.99-L484)/8.99)*100</f>
        <v>3.7819799777530574</v>
      </c>
    </row>
    <row r="485" spans="1:13" x14ac:dyDescent="0.35">
      <c r="A485" s="1" t="s">
        <v>9</v>
      </c>
      <c r="B485" t="str">
        <f t="shared" si="29"/>
        <v>C049</v>
      </c>
      <c r="C485" t="str">
        <f t="shared" si="28"/>
        <v>C</v>
      </c>
      <c r="D485" t="s">
        <v>4</v>
      </c>
      <c r="E485">
        <v>9</v>
      </c>
      <c r="F485" s="2" t="s">
        <v>1585</v>
      </c>
      <c r="G485" s="2" t="s">
        <v>1586</v>
      </c>
      <c r="H485" s="2" t="s">
        <v>1587</v>
      </c>
      <c r="I485" s="2" t="str">
        <f t="shared" si="30"/>
        <v>0.816</v>
      </c>
      <c r="J485" s="2" t="str">
        <f t="shared" si="31"/>
        <v>37.633</v>
      </c>
      <c r="K485" s="2" t="str">
        <f t="shared" si="31"/>
        <v>0.3836</v>
      </c>
      <c r="L485" s="3">
        <v>12.52</v>
      </c>
      <c r="M485">
        <f>((12.82-L485)/12.82)*100</f>
        <v>2.3400936037441555</v>
      </c>
    </row>
    <row r="486" spans="1:13" x14ac:dyDescent="0.35">
      <c r="A486" s="1" t="s">
        <v>10</v>
      </c>
      <c r="B486" t="str">
        <f t="shared" si="29"/>
        <v>C059</v>
      </c>
      <c r="C486" t="str">
        <f t="shared" si="28"/>
        <v>C</v>
      </c>
      <c r="D486" t="s">
        <v>4</v>
      </c>
      <c r="E486">
        <v>9</v>
      </c>
      <c r="F486" s="2" t="s">
        <v>1588</v>
      </c>
      <c r="G486" s="2" t="s">
        <v>1589</v>
      </c>
      <c r="H486" s="2" t="s">
        <v>1590</v>
      </c>
      <c r="I486" s="2" t="str">
        <f t="shared" si="30"/>
        <v>0.400</v>
      </c>
      <c r="J486" s="2" t="str">
        <f t="shared" si="31"/>
        <v>36.170</v>
      </c>
      <c r="K486" s="2" t="str">
        <f t="shared" si="31"/>
        <v>0.1960</v>
      </c>
      <c r="L486" s="3">
        <v>10.99</v>
      </c>
      <c r="M486">
        <f>((11.24-L486)/11.24)*100</f>
        <v>2.2241992882562278</v>
      </c>
    </row>
    <row r="487" spans="1:13" x14ac:dyDescent="0.35">
      <c r="A487" s="1" t="s">
        <v>11</v>
      </c>
      <c r="B487" t="str">
        <f t="shared" si="29"/>
        <v>C069</v>
      </c>
      <c r="C487" t="str">
        <f t="shared" si="28"/>
        <v>C</v>
      </c>
      <c r="D487" t="s">
        <v>4</v>
      </c>
      <c r="E487">
        <v>9</v>
      </c>
      <c r="F487" s="2" t="s">
        <v>1591</v>
      </c>
      <c r="G487" s="2" t="s">
        <v>1592</v>
      </c>
      <c r="H487" s="2" t="s">
        <v>1593</v>
      </c>
      <c r="I487" s="2" t="str">
        <f t="shared" si="30"/>
        <v>0.473</v>
      </c>
      <c r="J487" s="2" t="str">
        <f t="shared" si="31"/>
        <v>37.285</v>
      </c>
      <c r="K487" s="2" t="str">
        <f t="shared" si="31"/>
        <v>0.2248</v>
      </c>
      <c r="L487" s="3">
        <v>9.18</v>
      </c>
      <c r="M487">
        <f>((9.49-L487)/9.49)*100</f>
        <v>3.2665964172813542</v>
      </c>
    </row>
    <row r="488" spans="1:13" x14ac:dyDescent="0.35">
      <c r="A488" s="1" t="s">
        <v>12</v>
      </c>
      <c r="B488" t="str">
        <f t="shared" si="29"/>
        <v>C079</v>
      </c>
      <c r="C488" t="str">
        <f t="shared" si="28"/>
        <v>C</v>
      </c>
      <c r="D488" t="s">
        <v>4</v>
      </c>
      <c r="E488">
        <v>9</v>
      </c>
      <c r="F488" s="2" t="s">
        <v>1594</v>
      </c>
      <c r="G488" s="2" t="s">
        <v>1595</v>
      </c>
      <c r="H488" s="2" t="s">
        <v>1596</v>
      </c>
      <c r="I488" s="2" t="str">
        <f t="shared" si="30"/>
        <v>1.002</v>
      </c>
      <c r="J488" s="2" t="str">
        <f t="shared" si="31"/>
        <v>37.279</v>
      </c>
      <c r="K488" s="2" t="str">
        <f t="shared" si="31"/>
        <v>0.4758</v>
      </c>
      <c r="L488" s="3">
        <v>12</v>
      </c>
      <c r="M488">
        <f>((12.19-L488)/12.19)*100</f>
        <v>1.5586546349466737</v>
      </c>
    </row>
    <row r="489" spans="1:13" x14ac:dyDescent="0.35">
      <c r="A489" s="1" t="s">
        <v>13</v>
      </c>
      <c r="B489" t="str">
        <f t="shared" si="29"/>
        <v>C089</v>
      </c>
      <c r="C489" t="str">
        <f t="shared" si="28"/>
        <v>C</v>
      </c>
      <c r="D489" t="s">
        <v>4</v>
      </c>
      <c r="E489">
        <v>9</v>
      </c>
      <c r="F489" s="2" t="s">
        <v>1597</v>
      </c>
      <c r="G489" s="2" t="s">
        <v>1598</v>
      </c>
      <c r="H489" s="2" t="s">
        <v>1599</v>
      </c>
      <c r="I489" s="2" t="str">
        <f t="shared" si="30"/>
        <v>0.605</v>
      </c>
      <c r="J489" s="2" t="str">
        <f t="shared" si="31"/>
        <v>31.851</v>
      </c>
      <c r="K489" s="2" t="str">
        <f t="shared" si="31"/>
        <v>0.3380</v>
      </c>
      <c r="L489" s="3">
        <v>8.8000000000000007</v>
      </c>
      <c r="M489">
        <f>((9.02-L489)/9.02)*100</f>
        <v>2.43902439024389</v>
      </c>
    </row>
    <row r="490" spans="1:13" x14ac:dyDescent="0.35">
      <c r="A490" s="1" t="s">
        <v>14</v>
      </c>
      <c r="B490" t="str">
        <f t="shared" si="29"/>
        <v>C099</v>
      </c>
      <c r="C490" t="str">
        <f t="shared" si="28"/>
        <v>C</v>
      </c>
      <c r="D490" t="s">
        <v>4</v>
      </c>
      <c r="E490">
        <v>9</v>
      </c>
      <c r="F490" s="2" t="s">
        <v>1600</v>
      </c>
      <c r="G490" s="2" t="s">
        <v>1601</v>
      </c>
      <c r="H490" s="2" t="s">
        <v>1602</v>
      </c>
      <c r="I490" s="2" t="str">
        <f t="shared" si="30"/>
        <v>0.554</v>
      </c>
      <c r="J490" s="2" t="str">
        <f t="shared" si="31"/>
        <v>31.601</v>
      </c>
      <c r="K490" s="2" t="str">
        <f t="shared" si="31"/>
        <v>0.3108</v>
      </c>
      <c r="L490" s="3">
        <v>8.4600000000000009</v>
      </c>
      <c r="M490">
        <f>((8.66-L490)/8.66)*100</f>
        <v>2.3094688221708926</v>
      </c>
    </row>
    <row r="491" spans="1:13" x14ac:dyDescent="0.35">
      <c r="A491" s="1" t="s">
        <v>15</v>
      </c>
      <c r="B491" t="str">
        <f t="shared" si="29"/>
        <v>C109</v>
      </c>
      <c r="C491" t="str">
        <f t="shared" si="28"/>
        <v>C</v>
      </c>
      <c r="D491" t="s">
        <v>4</v>
      </c>
      <c r="E491">
        <v>9</v>
      </c>
      <c r="F491" s="2" t="s">
        <v>1603</v>
      </c>
      <c r="G491" s="2" t="s">
        <v>1604</v>
      </c>
      <c r="H491" s="2" t="s">
        <v>1605</v>
      </c>
      <c r="I491" s="2" t="str">
        <f t="shared" si="30"/>
        <v>0.974</v>
      </c>
      <c r="J491" s="2" t="str">
        <f t="shared" si="31"/>
        <v>34.748</v>
      </c>
      <c r="K491" s="2" t="str">
        <f t="shared" si="31"/>
        <v>0.4978</v>
      </c>
      <c r="L491" s="3">
        <v>12.48</v>
      </c>
      <c r="M491">
        <f>((12.87-L491)/12.87)*100</f>
        <v>3.030303030303021</v>
      </c>
    </row>
    <row r="492" spans="1:13" x14ac:dyDescent="0.35">
      <c r="A492" s="1" t="s">
        <v>16</v>
      </c>
      <c r="B492" t="str">
        <f t="shared" si="29"/>
        <v>C119</v>
      </c>
      <c r="C492" t="str">
        <f t="shared" si="28"/>
        <v>C</v>
      </c>
      <c r="D492" t="s">
        <v>4</v>
      </c>
      <c r="E492">
        <v>9</v>
      </c>
      <c r="F492" s="2" t="s">
        <v>1606</v>
      </c>
      <c r="G492" s="2" t="s">
        <v>1607</v>
      </c>
      <c r="H492" s="2" t="s">
        <v>1608</v>
      </c>
      <c r="I492" s="2" t="str">
        <f t="shared" si="30"/>
        <v>1.166</v>
      </c>
      <c r="J492" s="2" t="str">
        <f t="shared" si="31"/>
        <v>36.102</v>
      </c>
      <c r="K492" s="2" t="str">
        <f t="shared" si="31"/>
        <v>0.5733</v>
      </c>
      <c r="L492" s="3">
        <v>7.85</v>
      </c>
      <c r="M492">
        <f>((8.02-L492)/8.02)*100</f>
        <v>2.119700748129675</v>
      </c>
    </row>
    <row r="493" spans="1:13" x14ac:dyDescent="0.35">
      <c r="A493" s="1" t="s">
        <v>17</v>
      </c>
      <c r="B493" t="str">
        <f t="shared" si="29"/>
        <v>C129</v>
      </c>
      <c r="C493" t="str">
        <f t="shared" si="28"/>
        <v>C</v>
      </c>
      <c r="D493" t="s">
        <v>4</v>
      </c>
      <c r="E493">
        <v>9</v>
      </c>
      <c r="F493" s="2" t="s">
        <v>1609</v>
      </c>
      <c r="G493" s="2" t="s">
        <v>1610</v>
      </c>
      <c r="H493" s="2" t="s">
        <v>1611</v>
      </c>
      <c r="I493" s="2" t="str">
        <f t="shared" si="30"/>
        <v>0.606</v>
      </c>
      <c r="J493" s="2" t="str">
        <f t="shared" si="31"/>
        <v>36.477</v>
      </c>
      <c r="K493" s="2" t="str">
        <f t="shared" si="31"/>
        <v>0.2931</v>
      </c>
      <c r="L493" s="3">
        <v>8.82</v>
      </c>
      <c r="M493">
        <f>((9.02-L493)/9.02)*100</f>
        <v>2.2172949002217215</v>
      </c>
    </row>
    <row r="494" spans="1:13" x14ac:dyDescent="0.35">
      <c r="A494" s="1" t="s">
        <v>18</v>
      </c>
      <c r="B494" t="str">
        <f t="shared" si="29"/>
        <v>C139</v>
      </c>
      <c r="C494" t="str">
        <f t="shared" si="28"/>
        <v>C</v>
      </c>
      <c r="D494" t="s">
        <v>4</v>
      </c>
      <c r="E494">
        <v>9</v>
      </c>
      <c r="F494" s="2" t="s">
        <v>1612</v>
      </c>
      <c r="G494" s="2" t="s">
        <v>1613</v>
      </c>
      <c r="H494" s="2" t="s">
        <v>1614</v>
      </c>
      <c r="I494" s="2" t="str">
        <f t="shared" si="30"/>
        <v>0.561</v>
      </c>
      <c r="J494" s="2" t="str">
        <f t="shared" si="31"/>
        <v>35.302</v>
      </c>
      <c r="K494" s="2" t="str">
        <f t="shared" si="31"/>
        <v>0.2827</v>
      </c>
      <c r="L494" s="3">
        <v>10.3</v>
      </c>
      <c r="M494">
        <f>((10.68-L494)/10.68)*100</f>
        <v>3.5580524344569193</v>
      </c>
    </row>
    <row r="495" spans="1:13" x14ac:dyDescent="0.35">
      <c r="A495" s="1" t="s">
        <v>19</v>
      </c>
      <c r="B495" t="str">
        <f t="shared" si="29"/>
        <v>C149</v>
      </c>
      <c r="C495" t="str">
        <f t="shared" si="28"/>
        <v>C</v>
      </c>
      <c r="D495" t="s">
        <v>4</v>
      </c>
      <c r="E495">
        <v>9</v>
      </c>
      <c r="F495" s="2" t="s">
        <v>1615</v>
      </c>
      <c r="G495" s="2" t="s">
        <v>1616</v>
      </c>
      <c r="H495" s="2" t="s">
        <v>1617</v>
      </c>
      <c r="I495" s="2" t="str">
        <f t="shared" si="30"/>
        <v>0.488</v>
      </c>
      <c r="J495" s="2" t="str">
        <f t="shared" si="31"/>
        <v>35.656</v>
      </c>
      <c r="K495" s="2" t="str">
        <f t="shared" si="31"/>
        <v>0.2426</v>
      </c>
      <c r="L495" s="3">
        <v>9.0299999999999994</v>
      </c>
      <c r="M495">
        <f>((9.31-L495)/9.31)*100</f>
        <v>3.007518796992493</v>
      </c>
    </row>
    <row r="496" spans="1:13" x14ac:dyDescent="0.35">
      <c r="A496" s="1" t="s">
        <v>20</v>
      </c>
      <c r="B496" t="str">
        <f t="shared" si="29"/>
        <v>C159</v>
      </c>
      <c r="C496" t="str">
        <f t="shared" si="28"/>
        <v>C</v>
      </c>
      <c r="D496" t="s">
        <v>4</v>
      </c>
      <c r="E496">
        <v>9</v>
      </c>
      <c r="F496" s="2" t="s">
        <v>1618</v>
      </c>
      <c r="G496" s="2" t="s">
        <v>1619</v>
      </c>
      <c r="H496" s="2" t="s">
        <v>1620</v>
      </c>
      <c r="I496" s="2" t="str">
        <f t="shared" si="30"/>
        <v>1.164</v>
      </c>
      <c r="J496" s="2" t="str">
        <f t="shared" si="31"/>
        <v>37.622</v>
      </c>
      <c r="K496" s="2" t="str">
        <f t="shared" si="31"/>
        <v>0.5480</v>
      </c>
      <c r="L496" s="3">
        <v>12.66</v>
      </c>
      <c r="M496">
        <f>((12.96-L496)/12.96)*100</f>
        <v>2.3148148148148202</v>
      </c>
    </row>
    <row r="497" spans="1:13" x14ac:dyDescent="0.35">
      <c r="A497" s="1" t="s">
        <v>22</v>
      </c>
      <c r="B497" t="str">
        <f t="shared" si="29"/>
        <v>C169</v>
      </c>
      <c r="C497" t="str">
        <f t="shared" si="28"/>
        <v>C</v>
      </c>
      <c r="D497" t="s">
        <v>4</v>
      </c>
      <c r="E497">
        <v>9</v>
      </c>
      <c r="F497" s="2" t="s">
        <v>1621</v>
      </c>
      <c r="G497" s="2" t="s">
        <v>1622</v>
      </c>
      <c r="H497" s="2" t="s">
        <v>1623</v>
      </c>
      <c r="I497" s="2" t="str">
        <f t="shared" si="30"/>
        <v>1.084</v>
      </c>
      <c r="J497" s="2" t="str">
        <f t="shared" si="31"/>
        <v>33.243</v>
      </c>
      <c r="K497" s="2" t="str">
        <f t="shared" si="31"/>
        <v>0.5774</v>
      </c>
      <c r="L497" s="3">
        <v>12.65</v>
      </c>
      <c r="M497">
        <f>((13.01-L497)/13.01)*100</f>
        <v>2.767102229054569</v>
      </c>
    </row>
    <row r="498" spans="1:13" x14ac:dyDescent="0.35">
      <c r="A498" s="1" t="s">
        <v>23</v>
      </c>
      <c r="B498" t="str">
        <f t="shared" si="29"/>
        <v>C179</v>
      </c>
      <c r="C498" t="str">
        <f t="shared" si="28"/>
        <v>C</v>
      </c>
      <c r="D498" t="s">
        <v>4</v>
      </c>
      <c r="E498">
        <v>9</v>
      </c>
      <c r="F498" s="2" t="s">
        <v>1624</v>
      </c>
      <c r="G498" s="2" t="s">
        <v>1625</v>
      </c>
      <c r="H498" s="2" t="s">
        <v>1626</v>
      </c>
      <c r="I498" s="2" t="str">
        <f t="shared" si="30"/>
        <v>0.471</v>
      </c>
      <c r="J498" s="2" t="str">
        <f t="shared" si="31"/>
        <v>33.295</v>
      </c>
      <c r="K498" s="2" t="str">
        <f t="shared" si="31"/>
        <v>0.2518</v>
      </c>
      <c r="L498" s="3">
        <v>8.01</v>
      </c>
      <c r="M498">
        <f>((8.28-L498)/8.28)*100</f>
        <v>3.2608695652173862</v>
      </c>
    </row>
    <row r="499" spans="1:13" x14ac:dyDescent="0.35">
      <c r="A499" s="1" t="s">
        <v>24</v>
      </c>
      <c r="B499" t="str">
        <f t="shared" si="29"/>
        <v>C189</v>
      </c>
      <c r="C499" t="str">
        <f t="shared" si="28"/>
        <v>C</v>
      </c>
      <c r="D499" t="s">
        <v>4</v>
      </c>
      <c r="E499">
        <v>9</v>
      </c>
      <c r="F499" s="2" t="s">
        <v>1627</v>
      </c>
      <c r="G499" s="2" t="s">
        <v>1628</v>
      </c>
      <c r="H499" s="2" t="s">
        <v>1629</v>
      </c>
      <c r="I499" s="2" t="str">
        <f t="shared" si="30"/>
        <v>1.112</v>
      </c>
      <c r="J499" s="2" t="str">
        <f t="shared" si="31"/>
        <v>34.397</v>
      </c>
      <c r="K499" s="2" t="str">
        <f t="shared" si="31"/>
        <v>0.5742</v>
      </c>
      <c r="L499" s="3">
        <v>8.33</v>
      </c>
      <c r="M499">
        <f>((8.57-L499)/8.57)*100</f>
        <v>2.8004667444574123</v>
      </c>
    </row>
    <row r="500" spans="1:13" x14ac:dyDescent="0.35">
      <c r="A500" s="1" t="s">
        <v>25</v>
      </c>
      <c r="B500" t="str">
        <f t="shared" si="29"/>
        <v>C199</v>
      </c>
      <c r="C500" t="str">
        <f t="shared" si="28"/>
        <v>C</v>
      </c>
      <c r="D500" t="s">
        <v>4</v>
      </c>
      <c r="E500">
        <v>9</v>
      </c>
      <c r="F500" s="2" t="s">
        <v>1630</v>
      </c>
      <c r="G500" s="2" t="s">
        <v>1631</v>
      </c>
      <c r="H500" s="2" t="s">
        <v>1632</v>
      </c>
      <c r="I500" s="2" t="str">
        <f t="shared" si="30"/>
        <v>0.479</v>
      </c>
      <c r="J500" s="2" t="str">
        <f t="shared" si="31"/>
        <v>34.351</v>
      </c>
      <c r="K500" s="2" t="str">
        <f t="shared" si="31"/>
        <v>0.2472</v>
      </c>
      <c r="L500" s="3">
        <v>8.6</v>
      </c>
      <c r="M500">
        <f>((8.79-L500)/8.79)*100</f>
        <v>2.1615472127417465</v>
      </c>
    </row>
    <row r="501" spans="1:13" x14ac:dyDescent="0.35">
      <c r="A501" s="1" t="s">
        <v>26</v>
      </c>
      <c r="B501" t="str">
        <f t="shared" si="29"/>
        <v>C209</v>
      </c>
      <c r="C501" t="str">
        <f t="shared" si="28"/>
        <v>C</v>
      </c>
      <c r="D501" t="s">
        <v>4</v>
      </c>
      <c r="E501">
        <v>9</v>
      </c>
      <c r="F501" s="2" t="s">
        <v>1633</v>
      </c>
      <c r="G501" s="2" t="s">
        <v>1634</v>
      </c>
      <c r="H501" s="2" t="s">
        <v>1635</v>
      </c>
      <c r="I501" s="2" t="str">
        <f t="shared" si="30"/>
        <v>1.080</v>
      </c>
      <c r="J501" s="2" t="str">
        <f t="shared" si="31"/>
        <v>38.894</v>
      </c>
      <c r="K501" s="2" t="str">
        <f t="shared" si="31"/>
        <v>0.4922</v>
      </c>
      <c r="L501" s="3">
        <v>8.35</v>
      </c>
      <c r="M501">
        <f>((8.56-L501)/8.56)*100</f>
        <v>2.4532710280373933</v>
      </c>
    </row>
    <row r="502" spans="1:13" x14ac:dyDescent="0.35">
      <c r="A502" s="1" t="s">
        <v>27</v>
      </c>
      <c r="B502" t="str">
        <f t="shared" si="29"/>
        <v>C219</v>
      </c>
      <c r="C502" t="str">
        <f t="shared" si="28"/>
        <v>C</v>
      </c>
      <c r="D502" t="s">
        <v>4</v>
      </c>
      <c r="E502">
        <v>9</v>
      </c>
      <c r="F502" s="2" t="s">
        <v>1636</v>
      </c>
      <c r="G502" s="2" t="s">
        <v>1637</v>
      </c>
      <c r="H502" s="2" t="s">
        <v>1638</v>
      </c>
      <c r="I502" s="2" t="str">
        <f t="shared" si="30"/>
        <v>0.664</v>
      </c>
      <c r="J502" s="2" t="str">
        <f t="shared" si="31"/>
        <v>35.146</v>
      </c>
      <c r="K502" s="2" t="str">
        <f t="shared" si="31"/>
        <v>0.3348</v>
      </c>
      <c r="L502" s="3">
        <v>11.43</v>
      </c>
      <c r="M502">
        <f>((11.72-L502)/11.72)*100</f>
        <v>2.4744027303754343</v>
      </c>
    </row>
    <row r="503" spans="1:13" x14ac:dyDescent="0.35">
      <c r="A503" s="1" t="s">
        <v>28</v>
      </c>
      <c r="B503" t="str">
        <f t="shared" si="29"/>
        <v>C229</v>
      </c>
      <c r="C503" t="str">
        <f t="shared" si="28"/>
        <v>C</v>
      </c>
      <c r="D503" t="s">
        <v>4</v>
      </c>
      <c r="E503">
        <v>9</v>
      </c>
      <c r="F503" s="2" t="s">
        <v>1639</v>
      </c>
      <c r="G503" s="2" t="s">
        <v>1640</v>
      </c>
      <c r="H503" s="2" t="s">
        <v>1641</v>
      </c>
      <c r="I503" s="2" t="str">
        <f t="shared" si="30"/>
        <v>0.502</v>
      </c>
      <c r="J503" s="2" t="str">
        <f t="shared" si="31"/>
        <v>30.115</v>
      </c>
      <c r="K503" s="2" t="str">
        <f t="shared" si="31"/>
        <v>0.2949</v>
      </c>
      <c r="L503" s="3">
        <v>9.8699999999999992</v>
      </c>
      <c r="M503">
        <f>((10.19-L503)/10.19)*100</f>
        <v>3.140333660451426</v>
      </c>
    </row>
    <row r="504" spans="1:13" x14ac:dyDescent="0.35">
      <c r="A504" s="1" t="s">
        <v>29</v>
      </c>
      <c r="B504" t="str">
        <f t="shared" si="29"/>
        <v>C239</v>
      </c>
      <c r="C504" t="str">
        <f t="shared" si="28"/>
        <v>C</v>
      </c>
      <c r="D504" t="s">
        <v>4</v>
      </c>
      <c r="E504">
        <v>9</v>
      </c>
      <c r="F504" s="2" t="s">
        <v>1642</v>
      </c>
      <c r="G504" s="2" t="s">
        <v>1643</v>
      </c>
      <c r="H504" s="2" t="s">
        <v>1644</v>
      </c>
      <c r="I504" s="2" t="str">
        <f t="shared" si="30"/>
        <v>0.662</v>
      </c>
      <c r="J504" s="2" t="str">
        <f t="shared" si="31"/>
        <v>39.476</v>
      </c>
      <c r="K504" s="2" t="str">
        <f t="shared" si="31"/>
        <v>0.2979</v>
      </c>
      <c r="L504" s="3">
        <v>6.41</v>
      </c>
      <c r="M504">
        <f>((6.69-L504)/6.69)*100</f>
        <v>4.1853512705530678</v>
      </c>
    </row>
    <row r="505" spans="1:13" x14ac:dyDescent="0.35">
      <c r="A505" s="1" t="s">
        <v>30</v>
      </c>
      <c r="B505" t="str">
        <f t="shared" si="29"/>
        <v>C249</v>
      </c>
      <c r="C505" t="str">
        <f t="shared" si="28"/>
        <v>C</v>
      </c>
      <c r="D505" t="s">
        <v>4</v>
      </c>
      <c r="E505">
        <v>9</v>
      </c>
      <c r="F505" s="2" t="s">
        <v>1645</v>
      </c>
      <c r="G505" s="2" t="s">
        <v>1646</v>
      </c>
      <c r="H505" s="2" t="s">
        <v>1647</v>
      </c>
      <c r="I505" s="2" t="str">
        <f t="shared" si="30"/>
        <v>0.523</v>
      </c>
      <c r="J505" s="2" t="str">
        <f t="shared" si="31"/>
        <v>36.154</v>
      </c>
      <c r="K505" s="2" t="str">
        <f t="shared" si="31"/>
        <v>0.2563</v>
      </c>
      <c r="L505" s="3">
        <v>6.56</v>
      </c>
      <c r="M505">
        <f>((6.98-L505)/6.98)*100</f>
        <v>6.0171919770773759</v>
      </c>
    </row>
    <row r="506" spans="1:13" x14ac:dyDescent="0.35">
      <c r="A506" s="1" t="s">
        <v>31</v>
      </c>
      <c r="B506" t="str">
        <f t="shared" si="29"/>
        <v>C259</v>
      </c>
      <c r="C506" t="str">
        <f t="shared" si="28"/>
        <v>C</v>
      </c>
      <c r="D506" t="s">
        <v>4</v>
      </c>
      <c r="E506">
        <v>9</v>
      </c>
      <c r="F506" s="2" t="s">
        <v>1648</v>
      </c>
      <c r="G506" s="2" t="s">
        <v>1649</v>
      </c>
      <c r="H506" s="2" t="s">
        <v>1650</v>
      </c>
      <c r="I506" s="2" t="str">
        <f t="shared" si="30"/>
        <v>0.964</v>
      </c>
      <c r="J506" s="2" t="str">
        <f t="shared" si="31"/>
        <v>39.170</v>
      </c>
      <c r="K506" s="2" t="str">
        <f t="shared" si="31"/>
        <v>0.4367</v>
      </c>
      <c r="L506" s="3">
        <v>11.48</v>
      </c>
      <c r="M506">
        <f>((11.74-L506)/11.74)*100</f>
        <v>2.2146507666098789</v>
      </c>
    </row>
    <row r="507" spans="1:13" x14ac:dyDescent="0.35">
      <c r="A507" s="1" t="s">
        <v>32</v>
      </c>
      <c r="B507" t="str">
        <f t="shared" si="29"/>
        <v>C269</v>
      </c>
      <c r="C507" t="str">
        <f t="shared" ref="C507:C570" si="32">LEFT(D507,1)</f>
        <v>C</v>
      </c>
      <c r="D507" t="s">
        <v>4</v>
      </c>
      <c r="E507">
        <v>9</v>
      </c>
      <c r="F507" s="2" t="s">
        <v>1651</v>
      </c>
      <c r="G507" s="2" t="s">
        <v>1652</v>
      </c>
      <c r="H507" s="2" t="s">
        <v>1653</v>
      </c>
      <c r="I507" s="2" t="str">
        <f t="shared" si="30"/>
        <v>0.432</v>
      </c>
      <c r="J507" s="2" t="str">
        <f t="shared" si="31"/>
        <v>38.360</v>
      </c>
      <c r="K507" s="2" t="str">
        <f t="shared" si="31"/>
        <v>0.2000</v>
      </c>
      <c r="L507" s="3">
        <v>6.57</v>
      </c>
      <c r="M507">
        <f>((6.81-L507)/6.81)*100</f>
        <v>3.5242290748898584</v>
      </c>
    </row>
    <row r="508" spans="1:13" x14ac:dyDescent="0.35">
      <c r="A508" s="1" t="s">
        <v>33</v>
      </c>
      <c r="B508" t="str">
        <f t="shared" si="29"/>
        <v>C279</v>
      </c>
      <c r="C508" t="str">
        <f t="shared" si="32"/>
        <v>C</v>
      </c>
      <c r="D508" t="s">
        <v>4</v>
      </c>
      <c r="E508">
        <v>9</v>
      </c>
      <c r="F508" s="2" t="s">
        <v>1654</v>
      </c>
      <c r="G508" s="2" t="s">
        <v>1655</v>
      </c>
      <c r="H508" s="2" t="s">
        <v>1656</v>
      </c>
      <c r="I508" s="2" t="str">
        <f t="shared" si="30"/>
        <v>0.540</v>
      </c>
      <c r="J508" s="2" t="str">
        <f t="shared" si="31"/>
        <v>36.350</v>
      </c>
      <c r="K508" s="2" t="str">
        <f t="shared" si="31"/>
        <v>0.2641</v>
      </c>
      <c r="L508" s="3">
        <v>12.96</v>
      </c>
      <c r="M508">
        <f>((13.23-L508)/13.23)*100</f>
        <v>2.0408163265306092</v>
      </c>
    </row>
    <row r="509" spans="1:13" x14ac:dyDescent="0.35">
      <c r="A509" s="1" t="s">
        <v>34</v>
      </c>
      <c r="B509" t="str">
        <f t="shared" si="29"/>
        <v>C289</v>
      </c>
      <c r="C509" t="str">
        <f t="shared" si="32"/>
        <v>C</v>
      </c>
      <c r="D509" t="s">
        <v>4</v>
      </c>
      <c r="E509">
        <v>9</v>
      </c>
      <c r="F509" s="2" t="s">
        <v>1657</v>
      </c>
      <c r="G509" s="2" t="s">
        <v>1658</v>
      </c>
      <c r="H509" s="2" t="s">
        <v>1659</v>
      </c>
      <c r="I509" s="2" t="str">
        <f t="shared" si="30"/>
        <v>0.587</v>
      </c>
      <c r="J509" s="2" t="str">
        <f t="shared" si="31"/>
        <v>34.399</v>
      </c>
      <c r="K509" s="2" t="str">
        <f t="shared" si="31"/>
        <v>0.3029</v>
      </c>
      <c r="L509" s="3">
        <v>10.36</v>
      </c>
      <c r="M509">
        <f>((10.74-L509)/10.74)*100</f>
        <v>3.538175046554942</v>
      </c>
    </row>
    <row r="510" spans="1:13" x14ac:dyDescent="0.35">
      <c r="A510" s="1" t="s">
        <v>35</v>
      </c>
      <c r="B510" t="str">
        <f t="shared" si="29"/>
        <v>C299</v>
      </c>
      <c r="C510" t="str">
        <f t="shared" si="32"/>
        <v>C</v>
      </c>
      <c r="D510" t="s">
        <v>4</v>
      </c>
      <c r="E510">
        <v>9</v>
      </c>
      <c r="F510" s="2" t="s">
        <v>1660</v>
      </c>
      <c r="G510" s="2" t="s">
        <v>1661</v>
      </c>
      <c r="H510" s="2" t="s">
        <v>1662</v>
      </c>
      <c r="I510" s="2" t="str">
        <f t="shared" si="30"/>
        <v>0.942</v>
      </c>
      <c r="J510" s="2" t="str">
        <f t="shared" si="31"/>
        <v>38.762</v>
      </c>
      <c r="K510" s="2" t="str">
        <f t="shared" si="31"/>
        <v>0.4305</v>
      </c>
      <c r="L510" s="3">
        <v>11.37</v>
      </c>
      <c r="M510">
        <f>((11.59-L510)/11.59)*100</f>
        <v>1.8981880931837847</v>
      </c>
    </row>
    <row r="511" spans="1:13" x14ac:dyDescent="0.35">
      <c r="A511" s="1" t="s">
        <v>36</v>
      </c>
      <c r="B511" t="str">
        <f t="shared" si="29"/>
        <v>C309</v>
      </c>
      <c r="C511" t="str">
        <f t="shared" si="32"/>
        <v>C</v>
      </c>
      <c r="D511" t="s">
        <v>4</v>
      </c>
      <c r="E511">
        <v>9</v>
      </c>
      <c r="F511" s="2" t="s">
        <v>1663</v>
      </c>
      <c r="G511" s="2" t="s">
        <v>1664</v>
      </c>
      <c r="H511" s="2" t="s">
        <v>1665</v>
      </c>
      <c r="I511" s="2" t="str">
        <f t="shared" si="30"/>
        <v>1.101</v>
      </c>
      <c r="J511" s="2" t="str">
        <f t="shared" si="31"/>
        <v>37.687</v>
      </c>
      <c r="K511" s="2" t="str">
        <f t="shared" si="31"/>
        <v>0.5176</v>
      </c>
      <c r="L511" s="3">
        <v>9.0299999999999994</v>
      </c>
      <c r="M511">
        <f>((9.38-L511)/9.38)*100</f>
        <v>3.7313432835821043</v>
      </c>
    </row>
    <row r="512" spans="1:13" x14ac:dyDescent="0.35">
      <c r="A512" s="1" t="s">
        <v>7</v>
      </c>
      <c r="B512" t="str">
        <f t="shared" si="29"/>
        <v>R019</v>
      </c>
      <c r="C512" t="str">
        <f t="shared" si="32"/>
        <v>R</v>
      </c>
      <c r="D512" t="s">
        <v>5</v>
      </c>
      <c r="E512">
        <v>9</v>
      </c>
      <c r="F512" s="2" t="s">
        <v>451</v>
      </c>
      <c r="G512" s="2" t="s">
        <v>452</v>
      </c>
      <c r="H512" s="2" t="s">
        <v>453</v>
      </c>
      <c r="I512" s="2" t="str">
        <f t="shared" si="30"/>
        <v>0.737</v>
      </c>
      <c r="J512" s="2" t="str">
        <f t="shared" si="31"/>
        <v>31.326</v>
      </c>
      <c r="K512" s="2" t="str">
        <f t="shared" si="31"/>
        <v>0.4157</v>
      </c>
      <c r="L512" s="3">
        <v>9.33</v>
      </c>
      <c r="M512">
        <f>((10.2-L512)/10.2)*100</f>
        <v>8.5294117647058751</v>
      </c>
    </row>
    <row r="513" spans="1:13" x14ac:dyDescent="0.35">
      <c r="A513" s="1" t="s">
        <v>8</v>
      </c>
      <c r="B513" t="str">
        <f t="shared" si="29"/>
        <v>R029</v>
      </c>
      <c r="C513" t="str">
        <f t="shared" si="32"/>
        <v>R</v>
      </c>
      <c r="D513" t="s">
        <v>5</v>
      </c>
      <c r="E513">
        <v>9</v>
      </c>
      <c r="F513" s="2" t="s">
        <v>1489</v>
      </c>
      <c r="G513" s="2" t="s">
        <v>1490</v>
      </c>
      <c r="H513" s="2" t="s">
        <v>1491</v>
      </c>
      <c r="I513" s="2" t="str">
        <f t="shared" si="30"/>
        <v>0.656</v>
      </c>
      <c r="J513" s="2" t="str">
        <f t="shared" si="31"/>
        <v>29.521</v>
      </c>
      <c r="K513" s="2" t="str">
        <f t="shared" si="31"/>
        <v>0.3980</v>
      </c>
      <c r="L513" s="3">
        <v>8.18</v>
      </c>
      <c r="M513">
        <f>((8.9-L513)/8.9)*100</f>
        <v>8.0898876404494438</v>
      </c>
    </row>
    <row r="514" spans="1:13" x14ac:dyDescent="0.35">
      <c r="A514" s="1" t="s">
        <v>21</v>
      </c>
      <c r="B514" t="str">
        <f t="shared" si="29"/>
        <v>R039</v>
      </c>
      <c r="C514" t="str">
        <f t="shared" si="32"/>
        <v>R</v>
      </c>
      <c r="D514" t="s">
        <v>5</v>
      </c>
      <c r="E514">
        <v>9</v>
      </c>
      <c r="F514" s="2" t="s">
        <v>1492</v>
      </c>
      <c r="G514" s="2" t="s">
        <v>1493</v>
      </c>
      <c r="H514" s="2" t="s">
        <v>1494</v>
      </c>
      <c r="I514" s="2" t="str">
        <f t="shared" si="30"/>
        <v>0.634</v>
      </c>
      <c r="J514" s="2" t="str">
        <f t="shared" si="31"/>
        <v>36.384</v>
      </c>
      <c r="K514" s="2" t="str">
        <f t="shared" si="31"/>
        <v>0.3083</v>
      </c>
      <c r="L514" s="3">
        <v>7.1</v>
      </c>
      <c r="M514">
        <f>((7.72-L514)/7.72)*100</f>
        <v>8.0310880829015563</v>
      </c>
    </row>
    <row r="515" spans="1:13" x14ac:dyDescent="0.35">
      <c r="A515" s="1" t="s">
        <v>9</v>
      </c>
      <c r="B515" t="str">
        <f t="shared" ref="B515:B578" si="33">CONCATENATE(C515,A515,E515)</f>
        <v>R049</v>
      </c>
      <c r="C515" t="str">
        <f t="shared" si="32"/>
        <v>R</v>
      </c>
      <c r="D515" t="s">
        <v>5</v>
      </c>
      <c r="E515">
        <v>9</v>
      </c>
      <c r="F515" s="2" t="s">
        <v>1495</v>
      </c>
      <c r="G515" s="2" t="s">
        <v>1496</v>
      </c>
      <c r="H515" s="2" t="s">
        <v>1497</v>
      </c>
      <c r="I515" s="2" t="str">
        <f t="shared" ref="I515:I578" si="34">LEFT(F515,5)</f>
        <v>0.673</v>
      </c>
      <c r="J515" s="2" t="str">
        <f t="shared" si="31"/>
        <v>32.925</v>
      </c>
      <c r="K515" s="2" t="str">
        <f t="shared" si="31"/>
        <v>0.3655</v>
      </c>
      <c r="L515" s="3">
        <v>6.03</v>
      </c>
      <c r="M515">
        <f>((6.71-L515)/6.71)*100</f>
        <v>10.134128166915048</v>
      </c>
    </row>
    <row r="516" spans="1:13" x14ac:dyDescent="0.35">
      <c r="A516" s="1" t="s">
        <v>10</v>
      </c>
      <c r="B516" t="str">
        <f t="shared" si="33"/>
        <v>R059</v>
      </c>
      <c r="C516" t="str">
        <f t="shared" si="32"/>
        <v>R</v>
      </c>
      <c r="D516" t="s">
        <v>5</v>
      </c>
      <c r="E516">
        <v>9</v>
      </c>
      <c r="F516" s="2" t="s">
        <v>1498</v>
      </c>
      <c r="G516" s="2" t="s">
        <v>1499</v>
      </c>
      <c r="H516" s="2" t="s">
        <v>1500</v>
      </c>
      <c r="I516" s="2" t="str">
        <f t="shared" si="34"/>
        <v>1.128</v>
      </c>
      <c r="J516" s="2" t="str">
        <f t="shared" si="31"/>
        <v>32.089</v>
      </c>
      <c r="K516" s="2" t="str">
        <f t="shared" si="31"/>
        <v>0.6233</v>
      </c>
      <c r="L516" s="3">
        <v>6.86</v>
      </c>
      <c r="M516">
        <f>((7.58-L516)/7.58)*100</f>
        <v>9.4986807387862768</v>
      </c>
    </row>
    <row r="517" spans="1:13" x14ac:dyDescent="0.35">
      <c r="A517" s="1" t="s">
        <v>11</v>
      </c>
      <c r="B517" t="str">
        <f t="shared" si="33"/>
        <v>R069</v>
      </c>
      <c r="C517" t="str">
        <f t="shared" si="32"/>
        <v>R</v>
      </c>
      <c r="D517" t="s">
        <v>5</v>
      </c>
      <c r="E517">
        <v>9</v>
      </c>
      <c r="F517" s="2" t="s">
        <v>1501</v>
      </c>
      <c r="G517" s="2" t="s">
        <v>1502</v>
      </c>
      <c r="H517" s="2" t="s">
        <v>1503</v>
      </c>
      <c r="I517" s="2" t="str">
        <f t="shared" si="34"/>
        <v>0.560</v>
      </c>
      <c r="J517" s="2" t="str">
        <f t="shared" ref="J517:K580" si="35">LEFT(G517,6)</f>
        <v>30.154</v>
      </c>
      <c r="K517" s="2" t="str">
        <f t="shared" si="35"/>
        <v>0.3293</v>
      </c>
      <c r="L517" s="3">
        <v>7.73</v>
      </c>
      <c r="M517">
        <f>((8.47-L517)/8.47)*100</f>
        <v>8.7367178276269204</v>
      </c>
    </row>
    <row r="518" spans="1:13" x14ac:dyDescent="0.35">
      <c r="A518" s="1" t="s">
        <v>12</v>
      </c>
      <c r="B518" t="str">
        <f t="shared" si="33"/>
        <v>R079</v>
      </c>
      <c r="C518" t="str">
        <f t="shared" si="32"/>
        <v>R</v>
      </c>
      <c r="D518" t="s">
        <v>5</v>
      </c>
      <c r="E518">
        <v>9</v>
      </c>
      <c r="F518" s="2" t="s">
        <v>1504</v>
      </c>
      <c r="G518" s="2" t="s">
        <v>1505</v>
      </c>
      <c r="H518" s="2" t="s">
        <v>1506</v>
      </c>
      <c r="I518" s="2" t="str">
        <f t="shared" si="34"/>
        <v>0.507</v>
      </c>
      <c r="J518" s="2" t="str">
        <f t="shared" si="35"/>
        <v>30.463</v>
      </c>
      <c r="K518" s="2" t="str">
        <f t="shared" si="35"/>
        <v>0.2982</v>
      </c>
      <c r="L518" s="3">
        <v>8.99</v>
      </c>
      <c r="M518">
        <f>((9.75-L518)/9.75)*100</f>
        <v>7.794871794871792</v>
      </c>
    </row>
    <row r="519" spans="1:13" x14ac:dyDescent="0.35">
      <c r="A519" s="1" t="s">
        <v>13</v>
      </c>
      <c r="B519" t="str">
        <f t="shared" si="33"/>
        <v>R089</v>
      </c>
      <c r="C519" t="str">
        <f t="shared" si="32"/>
        <v>R</v>
      </c>
      <c r="D519" t="s">
        <v>5</v>
      </c>
      <c r="E519">
        <v>9</v>
      </c>
      <c r="F519" s="2" t="s">
        <v>1507</v>
      </c>
      <c r="G519" s="2" t="s">
        <v>1508</v>
      </c>
      <c r="H519" s="2" t="s">
        <v>1509</v>
      </c>
      <c r="I519" s="2" t="str">
        <f t="shared" si="34"/>
        <v>0.574</v>
      </c>
      <c r="J519" s="2" t="str">
        <f t="shared" si="35"/>
        <v>28.831</v>
      </c>
      <c r="K519" s="2" t="str">
        <f t="shared" si="35"/>
        <v>0.3533</v>
      </c>
      <c r="L519" s="3">
        <v>9.82</v>
      </c>
      <c r="M519">
        <f>((10.46-L519)/10.46)*100</f>
        <v>6.1185468451242873</v>
      </c>
    </row>
    <row r="520" spans="1:13" x14ac:dyDescent="0.35">
      <c r="A520" s="1" t="s">
        <v>14</v>
      </c>
      <c r="B520" t="str">
        <f t="shared" si="33"/>
        <v>R099</v>
      </c>
      <c r="C520" t="str">
        <f t="shared" si="32"/>
        <v>R</v>
      </c>
      <c r="D520" t="s">
        <v>5</v>
      </c>
      <c r="E520">
        <v>9</v>
      </c>
      <c r="F520" s="2" t="s">
        <v>1510</v>
      </c>
      <c r="G520" s="2" t="s">
        <v>1511</v>
      </c>
      <c r="H520" s="2" t="s">
        <v>1512</v>
      </c>
      <c r="I520" s="2" t="str">
        <f t="shared" si="34"/>
        <v>0.764</v>
      </c>
      <c r="J520" s="2" t="str">
        <f t="shared" si="35"/>
        <v>34.263</v>
      </c>
      <c r="K520" s="2" t="str">
        <f t="shared" si="35"/>
        <v>0.3967</v>
      </c>
      <c r="L520" s="3">
        <v>8.9700000000000006</v>
      </c>
      <c r="M520">
        <f>((9.52-L520)/9.52)*100</f>
        <v>5.7773109243697371</v>
      </c>
    </row>
    <row r="521" spans="1:13" x14ac:dyDescent="0.35">
      <c r="A521" s="1" t="s">
        <v>15</v>
      </c>
      <c r="B521" t="str">
        <f t="shared" si="33"/>
        <v>R109</v>
      </c>
      <c r="C521" t="str">
        <f t="shared" si="32"/>
        <v>R</v>
      </c>
      <c r="D521" t="s">
        <v>5</v>
      </c>
      <c r="E521">
        <v>9</v>
      </c>
      <c r="F521" s="2" t="s">
        <v>1513</v>
      </c>
      <c r="G521" s="2" t="s">
        <v>1514</v>
      </c>
      <c r="H521" s="2" t="s">
        <v>1515</v>
      </c>
      <c r="I521" s="2" t="str">
        <f t="shared" si="34"/>
        <v>1.144</v>
      </c>
      <c r="J521" s="2" t="str">
        <f t="shared" si="35"/>
        <v>31.871</v>
      </c>
      <c r="K521" s="2" t="str">
        <f t="shared" si="35"/>
        <v>0.6409</v>
      </c>
      <c r="L521" s="3">
        <v>13.8</v>
      </c>
      <c r="M521">
        <f>((14.55-L521)/14.55)*100</f>
        <v>5.1546391752577314</v>
      </c>
    </row>
    <row r="522" spans="1:13" x14ac:dyDescent="0.35">
      <c r="A522" s="1" t="s">
        <v>16</v>
      </c>
      <c r="B522" t="str">
        <f t="shared" si="33"/>
        <v>R119</v>
      </c>
      <c r="C522" t="str">
        <f t="shared" si="32"/>
        <v>R</v>
      </c>
      <c r="D522" t="s">
        <v>5</v>
      </c>
      <c r="E522">
        <v>9</v>
      </c>
      <c r="F522" s="2" t="s">
        <v>1516</v>
      </c>
      <c r="G522" s="2" t="s">
        <v>1517</v>
      </c>
      <c r="H522" s="2" t="s">
        <v>1518</v>
      </c>
      <c r="I522" s="2" t="str">
        <f t="shared" si="34"/>
        <v>0.435</v>
      </c>
      <c r="J522" s="2" t="str">
        <f t="shared" si="35"/>
        <v>32.773</v>
      </c>
      <c r="K522" s="2" t="str">
        <f t="shared" si="35"/>
        <v>0.2352</v>
      </c>
      <c r="L522" s="3">
        <v>8.24</v>
      </c>
      <c r="M522">
        <f>((8.99-L522)/8.99)*100</f>
        <v>8.3426028921023345</v>
      </c>
    </row>
    <row r="523" spans="1:13" x14ac:dyDescent="0.35">
      <c r="A523" s="1" t="s">
        <v>17</v>
      </c>
      <c r="B523" t="str">
        <f t="shared" si="33"/>
        <v>R129</v>
      </c>
      <c r="C523" t="str">
        <f t="shared" si="32"/>
        <v>R</v>
      </c>
      <c r="D523" t="s">
        <v>5</v>
      </c>
      <c r="E523">
        <v>9</v>
      </c>
      <c r="F523" s="2" t="s">
        <v>1519</v>
      </c>
      <c r="G523" s="2" t="s">
        <v>1520</v>
      </c>
      <c r="H523" s="2" t="s">
        <v>1521</v>
      </c>
      <c r="I523" s="2" t="str">
        <f t="shared" si="34"/>
        <v>1.117</v>
      </c>
      <c r="J523" s="2" t="str">
        <f t="shared" si="35"/>
        <v>36.047</v>
      </c>
      <c r="K523" s="2" t="str">
        <f t="shared" si="35"/>
        <v>0.5500</v>
      </c>
      <c r="L523" s="3">
        <v>8.8000000000000007</v>
      </c>
      <c r="M523">
        <f>((9.52-L523)/9.52)*100</f>
        <v>7.5630252100840218</v>
      </c>
    </row>
    <row r="524" spans="1:13" x14ac:dyDescent="0.35">
      <c r="A524" s="1" t="s">
        <v>18</v>
      </c>
      <c r="B524" t="str">
        <f t="shared" si="33"/>
        <v>R139</v>
      </c>
      <c r="C524" t="str">
        <f t="shared" si="32"/>
        <v>R</v>
      </c>
      <c r="D524" t="s">
        <v>5</v>
      </c>
      <c r="E524">
        <v>9</v>
      </c>
      <c r="F524" s="2" t="s">
        <v>1522</v>
      </c>
      <c r="G524" s="2" t="s">
        <v>1523</v>
      </c>
      <c r="H524" s="2" t="s">
        <v>1524</v>
      </c>
      <c r="I524" s="2" t="str">
        <f t="shared" si="34"/>
        <v>0.574</v>
      </c>
      <c r="J524" s="2" t="str">
        <f t="shared" si="35"/>
        <v>32.204</v>
      </c>
      <c r="K524" s="2" t="str">
        <f t="shared" si="35"/>
        <v>0.3165</v>
      </c>
      <c r="L524" s="3">
        <v>9.58</v>
      </c>
      <c r="M524">
        <f>((10.58-L524)/10.58)*100</f>
        <v>9.4517958412098295</v>
      </c>
    </row>
    <row r="525" spans="1:13" x14ac:dyDescent="0.35">
      <c r="A525" s="1" t="s">
        <v>19</v>
      </c>
      <c r="B525" t="str">
        <f t="shared" si="33"/>
        <v>R149</v>
      </c>
      <c r="C525" t="str">
        <f t="shared" si="32"/>
        <v>R</v>
      </c>
      <c r="D525" t="s">
        <v>5</v>
      </c>
      <c r="E525">
        <v>9</v>
      </c>
      <c r="F525" s="2" t="s">
        <v>1525</v>
      </c>
      <c r="G525" s="2" t="s">
        <v>1526</v>
      </c>
      <c r="H525" s="2" t="s">
        <v>1527</v>
      </c>
      <c r="I525" s="2" t="str">
        <f t="shared" si="34"/>
        <v>0.558</v>
      </c>
      <c r="J525" s="2" t="str">
        <f t="shared" si="35"/>
        <v>34.900</v>
      </c>
      <c r="K525" s="2" t="str">
        <f t="shared" si="35"/>
        <v>0.2857</v>
      </c>
      <c r="L525" s="3">
        <v>10.4</v>
      </c>
      <c r="M525">
        <f>((11.2-L525)/11.2)*100</f>
        <v>7.1428571428571344</v>
      </c>
    </row>
    <row r="526" spans="1:13" x14ac:dyDescent="0.35">
      <c r="A526" s="1" t="s">
        <v>20</v>
      </c>
      <c r="B526" t="str">
        <f t="shared" si="33"/>
        <v>R159</v>
      </c>
      <c r="C526" t="str">
        <f t="shared" si="32"/>
        <v>R</v>
      </c>
      <c r="D526" t="s">
        <v>5</v>
      </c>
      <c r="E526">
        <v>9</v>
      </c>
      <c r="F526" s="2" t="s">
        <v>1528</v>
      </c>
      <c r="G526" s="2" t="s">
        <v>1529</v>
      </c>
      <c r="H526" s="2" t="s">
        <v>1530</v>
      </c>
      <c r="I526" s="2" t="str">
        <f t="shared" si="34"/>
        <v>0.637</v>
      </c>
      <c r="J526" s="2" t="str">
        <f t="shared" si="35"/>
        <v>34.213</v>
      </c>
      <c r="K526" s="2" t="str">
        <f t="shared" si="35"/>
        <v>0.3320</v>
      </c>
      <c r="L526" s="3">
        <v>9.59</v>
      </c>
      <c r="M526">
        <f>((10.33-L526)/10.33)*100</f>
        <v>7.1636011616650546</v>
      </c>
    </row>
    <row r="527" spans="1:13" x14ac:dyDescent="0.35">
      <c r="A527" s="1" t="s">
        <v>22</v>
      </c>
      <c r="B527" t="str">
        <f t="shared" si="33"/>
        <v>R169</v>
      </c>
      <c r="C527" t="str">
        <f t="shared" si="32"/>
        <v>R</v>
      </c>
      <c r="D527" t="s">
        <v>5</v>
      </c>
      <c r="E527">
        <v>9</v>
      </c>
      <c r="F527" s="2" t="s">
        <v>1531</v>
      </c>
      <c r="G527" s="2" t="s">
        <v>1532</v>
      </c>
      <c r="H527" s="2" t="s">
        <v>1533</v>
      </c>
      <c r="I527" s="2" t="str">
        <f t="shared" si="34"/>
        <v>0.755</v>
      </c>
      <c r="J527" s="2" t="str">
        <f t="shared" si="35"/>
        <v>35.293</v>
      </c>
      <c r="K527" s="2" t="str">
        <f t="shared" si="35"/>
        <v>0.3788</v>
      </c>
      <c r="L527" s="3">
        <v>7.72</v>
      </c>
      <c r="M527">
        <f>((8.36-L527)/8.36)*100</f>
        <v>7.6555023923444949</v>
      </c>
    </row>
    <row r="528" spans="1:13" x14ac:dyDescent="0.35">
      <c r="A528" s="1" t="s">
        <v>23</v>
      </c>
      <c r="B528" t="str">
        <f t="shared" si="33"/>
        <v>R179</v>
      </c>
      <c r="C528" t="str">
        <f t="shared" si="32"/>
        <v>R</v>
      </c>
      <c r="D528" t="s">
        <v>5</v>
      </c>
      <c r="E528">
        <v>9</v>
      </c>
      <c r="F528" s="2" t="s">
        <v>1534</v>
      </c>
      <c r="G528" s="2" t="s">
        <v>1535</v>
      </c>
      <c r="H528" s="2" t="s">
        <v>1536</v>
      </c>
      <c r="I528" s="2" t="str">
        <f t="shared" si="34"/>
        <v>0.612</v>
      </c>
      <c r="J528" s="2" t="str">
        <f t="shared" si="35"/>
        <v>32.465</v>
      </c>
      <c r="K528" s="2" t="str">
        <f t="shared" si="35"/>
        <v>0.3407</v>
      </c>
      <c r="L528" s="3">
        <v>10.11</v>
      </c>
      <c r="M528">
        <f>((10.97-L528)/10.97)*100</f>
        <v>7.8395624430264457</v>
      </c>
    </row>
    <row r="529" spans="1:13" x14ac:dyDescent="0.35">
      <c r="A529" s="1" t="s">
        <v>24</v>
      </c>
      <c r="B529" t="str">
        <f t="shared" si="33"/>
        <v>R189</v>
      </c>
      <c r="C529" t="str">
        <f t="shared" si="32"/>
        <v>R</v>
      </c>
      <c r="D529" t="s">
        <v>5</v>
      </c>
      <c r="E529">
        <v>9</v>
      </c>
      <c r="F529" s="2" t="s">
        <v>1537</v>
      </c>
      <c r="G529" s="2" t="s">
        <v>1538</v>
      </c>
      <c r="H529" s="2" t="s">
        <v>1539</v>
      </c>
      <c r="I529" s="2" t="str">
        <f t="shared" si="34"/>
        <v>1.067</v>
      </c>
      <c r="J529" s="2" t="str">
        <f t="shared" si="35"/>
        <v>36.258</v>
      </c>
      <c r="K529" s="2" t="str">
        <f t="shared" si="35"/>
        <v>0.5225</v>
      </c>
      <c r="L529" s="3">
        <v>7.34</v>
      </c>
      <c r="M529">
        <f>((8.03-L529)/8.03)*100</f>
        <v>8.5927770859277643</v>
      </c>
    </row>
    <row r="530" spans="1:13" x14ac:dyDescent="0.35">
      <c r="A530" s="1" t="s">
        <v>25</v>
      </c>
      <c r="B530" t="str">
        <f t="shared" si="33"/>
        <v>R199</v>
      </c>
      <c r="C530" t="str">
        <f t="shared" si="32"/>
        <v>R</v>
      </c>
      <c r="D530" t="s">
        <v>5</v>
      </c>
      <c r="E530">
        <v>9</v>
      </c>
      <c r="F530" s="2" t="s">
        <v>1540</v>
      </c>
      <c r="G530" s="2" t="s">
        <v>1541</v>
      </c>
      <c r="H530" s="2" t="s">
        <v>1542</v>
      </c>
      <c r="I530" s="2" t="str">
        <f t="shared" si="34"/>
        <v>0.572</v>
      </c>
      <c r="J530" s="2" t="str">
        <f t="shared" si="35"/>
        <v>32.442</v>
      </c>
      <c r="K530" s="2" t="str">
        <f t="shared" si="35"/>
        <v>0.3214</v>
      </c>
      <c r="L530" s="3">
        <v>8.18</v>
      </c>
      <c r="M530">
        <f>((8.97-L530)/8.97)*100</f>
        <v>8.8071348940914262</v>
      </c>
    </row>
    <row r="531" spans="1:13" x14ac:dyDescent="0.35">
      <c r="A531" s="1" t="s">
        <v>26</v>
      </c>
      <c r="B531" t="str">
        <f t="shared" si="33"/>
        <v>R209</v>
      </c>
      <c r="C531" t="str">
        <f t="shared" si="32"/>
        <v>R</v>
      </c>
      <c r="D531" t="s">
        <v>5</v>
      </c>
      <c r="E531">
        <v>9</v>
      </c>
      <c r="F531" s="2" t="s">
        <v>1543</v>
      </c>
      <c r="G531" s="2" t="s">
        <v>1544</v>
      </c>
      <c r="H531" s="2" t="s">
        <v>1545</v>
      </c>
      <c r="I531" s="2" t="str">
        <f t="shared" si="34"/>
        <v>1.063</v>
      </c>
      <c r="J531" s="2" t="str">
        <f t="shared" si="35"/>
        <v>35.392</v>
      </c>
      <c r="K531" s="2" t="str">
        <f t="shared" si="35"/>
        <v>0.5333</v>
      </c>
      <c r="L531" s="3">
        <v>8.52</v>
      </c>
      <c r="M531">
        <f>((9.17-L531)/9.17)*100</f>
        <v>7.0883315158124365</v>
      </c>
    </row>
    <row r="532" spans="1:13" x14ac:dyDescent="0.35">
      <c r="A532" s="1" t="s">
        <v>27</v>
      </c>
      <c r="B532" t="str">
        <f t="shared" si="33"/>
        <v>R219</v>
      </c>
      <c r="C532" t="str">
        <f t="shared" si="32"/>
        <v>R</v>
      </c>
      <c r="D532" t="s">
        <v>5</v>
      </c>
      <c r="E532">
        <v>9</v>
      </c>
      <c r="F532" s="2" t="s">
        <v>1546</v>
      </c>
      <c r="G532" s="2" t="s">
        <v>1547</v>
      </c>
      <c r="H532" s="2" t="s">
        <v>1548</v>
      </c>
      <c r="I532" s="2" t="str">
        <f t="shared" si="34"/>
        <v>0.867</v>
      </c>
      <c r="J532" s="2" t="str">
        <f t="shared" si="35"/>
        <v>34.272</v>
      </c>
      <c r="K532" s="2" t="str">
        <f t="shared" si="35"/>
        <v>0.4518</v>
      </c>
      <c r="L532" s="3">
        <v>10.28</v>
      </c>
      <c r="M532">
        <f>((11.02-L532)/11.02)*100</f>
        <v>6.7150635208711451</v>
      </c>
    </row>
    <row r="533" spans="1:13" x14ac:dyDescent="0.35">
      <c r="A533" s="1" t="s">
        <v>28</v>
      </c>
      <c r="B533" t="str">
        <f t="shared" si="33"/>
        <v>R229</v>
      </c>
      <c r="C533" t="str">
        <f t="shared" si="32"/>
        <v>R</v>
      </c>
      <c r="D533" t="s">
        <v>5</v>
      </c>
      <c r="E533">
        <v>9</v>
      </c>
      <c r="F533" s="2" t="s">
        <v>1549</v>
      </c>
      <c r="G533" s="2" t="s">
        <v>1550</v>
      </c>
      <c r="H533" s="2" t="s">
        <v>1551</v>
      </c>
      <c r="I533" s="2" t="str">
        <f t="shared" si="34"/>
        <v>0.645</v>
      </c>
      <c r="J533" s="2" t="str">
        <f t="shared" si="35"/>
        <v>33.506</v>
      </c>
      <c r="K533" s="2" t="str">
        <f t="shared" si="35"/>
        <v>0.3403</v>
      </c>
      <c r="L533" s="3">
        <v>10.54</v>
      </c>
      <c r="M533">
        <f>((11.2-L533)/11.2)*100</f>
        <v>5.892857142857145</v>
      </c>
    </row>
    <row r="534" spans="1:13" x14ac:dyDescent="0.35">
      <c r="A534" s="1" t="s">
        <v>29</v>
      </c>
      <c r="B534" t="str">
        <f t="shared" si="33"/>
        <v>R239</v>
      </c>
      <c r="C534" t="str">
        <f t="shared" si="32"/>
        <v>R</v>
      </c>
      <c r="D534" t="s">
        <v>5</v>
      </c>
      <c r="E534">
        <v>9</v>
      </c>
      <c r="F534" s="2" t="s">
        <v>1552</v>
      </c>
      <c r="G534" s="2" t="s">
        <v>1553</v>
      </c>
      <c r="H534" s="2" t="s">
        <v>1554</v>
      </c>
      <c r="I534" s="2" t="str">
        <f t="shared" si="34"/>
        <v>1.133</v>
      </c>
      <c r="J534" s="2" t="str">
        <f t="shared" si="35"/>
        <v>33.893</v>
      </c>
      <c r="K534" s="2" t="str">
        <f t="shared" si="35"/>
        <v>0.5922</v>
      </c>
      <c r="L534" s="3">
        <v>9.74</v>
      </c>
      <c r="M534">
        <f>((10.41-L534)/10.41)*100</f>
        <v>6.4361191162343889</v>
      </c>
    </row>
    <row r="535" spans="1:13" x14ac:dyDescent="0.35">
      <c r="A535" s="1" t="s">
        <v>30</v>
      </c>
      <c r="B535" t="str">
        <f t="shared" si="33"/>
        <v>R249</v>
      </c>
      <c r="C535" t="str">
        <f t="shared" si="32"/>
        <v>R</v>
      </c>
      <c r="D535" t="s">
        <v>5</v>
      </c>
      <c r="E535">
        <v>9</v>
      </c>
      <c r="F535" s="2" t="s">
        <v>1555</v>
      </c>
      <c r="G535" s="2" t="s">
        <v>1556</v>
      </c>
      <c r="H535" s="2" t="s">
        <v>1557</v>
      </c>
      <c r="I535" s="2" t="str">
        <f t="shared" si="34"/>
        <v>1.083</v>
      </c>
      <c r="J535" s="2" t="str">
        <f t="shared" si="35"/>
        <v>34.567</v>
      </c>
      <c r="K535" s="2" t="str">
        <f t="shared" si="35"/>
        <v>0.5563</v>
      </c>
      <c r="L535" s="3">
        <v>11.03</v>
      </c>
      <c r="M535">
        <f>((11.96-L535)/11.96)*100</f>
        <v>7.7759197324414835</v>
      </c>
    </row>
    <row r="536" spans="1:13" x14ac:dyDescent="0.35">
      <c r="A536" s="1" t="s">
        <v>31</v>
      </c>
      <c r="B536" t="str">
        <f t="shared" si="33"/>
        <v>R259</v>
      </c>
      <c r="C536" t="str">
        <f t="shared" si="32"/>
        <v>R</v>
      </c>
      <c r="D536" t="s">
        <v>5</v>
      </c>
      <c r="E536">
        <v>9</v>
      </c>
      <c r="F536" s="2" t="s">
        <v>1558</v>
      </c>
      <c r="G536" s="2" t="s">
        <v>1559</v>
      </c>
      <c r="H536" s="2" t="s">
        <v>1560</v>
      </c>
      <c r="I536" s="2" t="str">
        <f t="shared" si="34"/>
        <v>0.733</v>
      </c>
      <c r="J536" s="2" t="str">
        <f t="shared" si="35"/>
        <v>31.380</v>
      </c>
      <c r="K536" s="2" t="str">
        <f t="shared" si="35"/>
        <v>0.4160</v>
      </c>
      <c r="L536" s="3">
        <v>10.96</v>
      </c>
      <c r="M536">
        <f>((11.77-L536)/11.77)*100</f>
        <v>6.8819031435853759</v>
      </c>
    </row>
    <row r="537" spans="1:13" x14ac:dyDescent="0.35">
      <c r="A537" s="1" t="s">
        <v>32</v>
      </c>
      <c r="B537" t="str">
        <f t="shared" si="33"/>
        <v>R269</v>
      </c>
      <c r="C537" t="str">
        <f t="shared" si="32"/>
        <v>R</v>
      </c>
      <c r="D537" t="s">
        <v>5</v>
      </c>
      <c r="E537">
        <v>9</v>
      </c>
      <c r="F537" s="2" t="s">
        <v>1561</v>
      </c>
      <c r="G537" s="2" t="s">
        <v>1562</v>
      </c>
      <c r="H537" s="2" t="s">
        <v>1563</v>
      </c>
      <c r="I537" s="2" t="str">
        <f t="shared" si="34"/>
        <v>0.660</v>
      </c>
      <c r="J537" s="2" t="str">
        <f t="shared" si="35"/>
        <v>33.161</v>
      </c>
      <c r="K537" s="2" t="str">
        <f t="shared" si="35"/>
        <v>0.3522</v>
      </c>
      <c r="L537" s="3">
        <v>11.97</v>
      </c>
      <c r="M537">
        <f>((12.72-L537)/12.72)*100</f>
        <v>5.8962264150943389</v>
      </c>
    </row>
    <row r="538" spans="1:13" x14ac:dyDescent="0.35">
      <c r="A538" s="1" t="s">
        <v>33</v>
      </c>
      <c r="B538" t="str">
        <f t="shared" si="33"/>
        <v>R279</v>
      </c>
      <c r="C538" t="str">
        <f t="shared" si="32"/>
        <v>R</v>
      </c>
      <c r="D538" t="s">
        <v>5</v>
      </c>
      <c r="E538">
        <v>9</v>
      </c>
      <c r="F538" s="2" t="s">
        <v>1564</v>
      </c>
      <c r="G538" s="2" t="s">
        <v>1565</v>
      </c>
      <c r="H538" s="2" t="s">
        <v>1566</v>
      </c>
      <c r="I538" s="2" t="str">
        <f t="shared" si="34"/>
        <v>0.718</v>
      </c>
      <c r="J538" s="2" t="str">
        <f t="shared" si="35"/>
        <v>36.081</v>
      </c>
      <c r="K538" s="2" t="str">
        <f t="shared" si="35"/>
        <v>0.3524</v>
      </c>
      <c r="L538" s="3">
        <v>12.19</v>
      </c>
      <c r="M538">
        <f>((13.02-L538)/13.02)*100</f>
        <v>6.3748079877112147</v>
      </c>
    </row>
    <row r="539" spans="1:13" x14ac:dyDescent="0.35">
      <c r="A539" s="1" t="s">
        <v>34</v>
      </c>
      <c r="B539" t="str">
        <f t="shared" si="33"/>
        <v>R289</v>
      </c>
      <c r="C539" t="str">
        <f t="shared" si="32"/>
        <v>R</v>
      </c>
      <c r="D539" t="s">
        <v>5</v>
      </c>
      <c r="E539">
        <v>9</v>
      </c>
      <c r="F539" s="2" t="s">
        <v>1567</v>
      </c>
      <c r="G539" s="2" t="s">
        <v>1568</v>
      </c>
      <c r="H539" s="2" t="s">
        <v>1569</v>
      </c>
      <c r="I539" s="2" t="str">
        <f t="shared" si="34"/>
        <v>0.998</v>
      </c>
      <c r="J539" s="2" t="str">
        <f t="shared" si="35"/>
        <v>32.310</v>
      </c>
      <c r="K539" s="2" t="str">
        <f t="shared" si="35"/>
        <v>0.5467</v>
      </c>
      <c r="L539" s="3">
        <v>9.4700000000000006</v>
      </c>
      <c r="M539">
        <f>((10.13-L539)/10.13)*100</f>
        <v>6.5153010858835154</v>
      </c>
    </row>
    <row r="540" spans="1:13" x14ac:dyDescent="0.35">
      <c r="A540" s="1" t="s">
        <v>35</v>
      </c>
      <c r="B540" t="str">
        <f t="shared" si="33"/>
        <v>R299</v>
      </c>
      <c r="C540" t="str">
        <f t="shared" si="32"/>
        <v>R</v>
      </c>
      <c r="D540" t="s">
        <v>5</v>
      </c>
      <c r="E540">
        <v>9</v>
      </c>
      <c r="F540" s="2" t="s">
        <v>1570</v>
      </c>
      <c r="G540" s="2" t="s">
        <v>1571</v>
      </c>
      <c r="H540" s="2" t="s">
        <v>1572</v>
      </c>
      <c r="I540" s="2" t="str">
        <f t="shared" si="34"/>
        <v>0.508</v>
      </c>
      <c r="J540" s="2" t="str">
        <f t="shared" si="35"/>
        <v>36.692</v>
      </c>
      <c r="K540" s="2" t="str">
        <f t="shared" si="35"/>
        <v>0.2451</v>
      </c>
      <c r="L540" s="3">
        <v>7.53</v>
      </c>
      <c r="M540">
        <f>((8.49-L540)/8.49)*100</f>
        <v>11.307420494699647</v>
      </c>
    </row>
    <row r="541" spans="1:13" x14ac:dyDescent="0.35">
      <c r="A541" s="1" t="s">
        <v>36</v>
      </c>
      <c r="B541" t="str">
        <f t="shared" si="33"/>
        <v>R309</v>
      </c>
      <c r="C541" t="str">
        <f t="shared" si="32"/>
        <v>R</v>
      </c>
      <c r="D541" t="s">
        <v>5</v>
      </c>
      <c r="E541">
        <v>9</v>
      </c>
      <c r="F541" s="2" t="s">
        <v>1573</v>
      </c>
      <c r="G541" s="2" t="s">
        <v>1574</v>
      </c>
      <c r="H541" s="2" t="s">
        <v>1575</v>
      </c>
      <c r="I541" s="2" t="str">
        <f t="shared" si="34"/>
        <v>0.488</v>
      </c>
      <c r="J541" s="2" t="str">
        <f t="shared" si="35"/>
        <v>33.261</v>
      </c>
      <c r="K541" s="2" t="str">
        <f t="shared" si="35"/>
        <v>0.2603</v>
      </c>
      <c r="L541" s="3">
        <v>6.96</v>
      </c>
      <c r="M541">
        <f>((7.78-L541)/7.78)*100</f>
        <v>10.539845758354758</v>
      </c>
    </row>
    <row r="542" spans="1:13" x14ac:dyDescent="0.35">
      <c r="A542" s="1" t="s">
        <v>7</v>
      </c>
      <c r="B542" t="str">
        <f t="shared" si="33"/>
        <v>C0110</v>
      </c>
      <c r="C542" t="str">
        <f t="shared" si="32"/>
        <v>C</v>
      </c>
      <c r="D542" t="s">
        <v>4</v>
      </c>
      <c r="E542">
        <v>10</v>
      </c>
      <c r="F542" s="2" t="s">
        <v>1753</v>
      </c>
      <c r="G542" s="2" t="s">
        <v>1754</v>
      </c>
      <c r="H542" s="2" t="s">
        <v>1755</v>
      </c>
      <c r="I542" s="2" t="str">
        <f t="shared" si="34"/>
        <v>0.885</v>
      </c>
      <c r="J542" s="2" t="str">
        <f t="shared" si="35"/>
        <v>35.097</v>
      </c>
      <c r="K542" s="2" t="str">
        <f t="shared" si="35"/>
        <v>0.4452</v>
      </c>
      <c r="L542" s="3">
        <v>10.24</v>
      </c>
      <c r="M542">
        <f>((10.71-L542)/10.71)*100</f>
        <v>4.3884220354808647</v>
      </c>
    </row>
    <row r="543" spans="1:13" x14ac:dyDescent="0.35">
      <c r="A543" s="1" t="s">
        <v>8</v>
      </c>
      <c r="B543" t="str">
        <f t="shared" si="33"/>
        <v>C0210</v>
      </c>
      <c r="C543" t="str">
        <f t="shared" si="32"/>
        <v>C</v>
      </c>
      <c r="D543" t="s">
        <v>4</v>
      </c>
      <c r="E543">
        <v>10</v>
      </c>
      <c r="F543" s="2" t="s">
        <v>1756</v>
      </c>
      <c r="G543" s="2" t="s">
        <v>1757</v>
      </c>
      <c r="H543" s="2" t="s">
        <v>1758</v>
      </c>
      <c r="I543" s="2" t="str">
        <f t="shared" si="34"/>
        <v>0.908</v>
      </c>
      <c r="J543" s="2" t="str">
        <f t="shared" si="35"/>
        <v>34.882</v>
      </c>
      <c r="K543" s="2" t="str">
        <f t="shared" si="35"/>
        <v>0.4620</v>
      </c>
      <c r="L543" s="3">
        <v>10.67</v>
      </c>
      <c r="M543">
        <f>((11.03-L543)/11.03)*100</f>
        <v>3.2638259292837666</v>
      </c>
    </row>
    <row r="544" spans="1:13" x14ac:dyDescent="0.35">
      <c r="A544" s="1" t="s">
        <v>21</v>
      </c>
      <c r="B544" t="str">
        <f t="shared" si="33"/>
        <v>C0310</v>
      </c>
      <c r="C544" t="str">
        <f t="shared" si="32"/>
        <v>C</v>
      </c>
      <c r="D544" t="s">
        <v>4</v>
      </c>
      <c r="E544">
        <v>10</v>
      </c>
      <c r="F544" s="2" t="s">
        <v>1759</v>
      </c>
      <c r="G544" s="2" t="s">
        <v>1760</v>
      </c>
      <c r="H544" s="2" t="s">
        <v>1761</v>
      </c>
      <c r="I544" s="2" t="str">
        <f t="shared" si="34"/>
        <v>0.417</v>
      </c>
      <c r="J544" s="2" t="str">
        <f t="shared" si="35"/>
        <v>31.512</v>
      </c>
      <c r="K544" s="2" t="str">
        <f t="shared" si="35"/>
        <v>0.2354</v>
      </c>
      <c r="L544" s="3">
        <v>8.6199999999999992</v>
      </c>
      <c r="M544">
        <f>((8.99-L544)/8.99)*100</f>
        <v>4.1156840934371637</v>
      </c>
    </row>
    <row r="545" spans="1:13" x14ac:dyDescent="0.35">
      <c r="A545" s="1" t="s">
        <v>9</v>
      </c>
      <c r="B545" t="str">
        <f t="shared" si="33"/>
        <v>C0410</v>
      </c>
      <c r="C545" t="str">
        <f t="shared" si="32"/>
        <v>C</v>
      </c>
      <c r="D545" t="s">
        <v>4</v>
      </c>
      <c r="E545">
        <v>10</v>
      </c>
      <c r="F545" s="2" t="s">
        <v>1762</v>
      </c>
      <c r="G545" s="2" t="s">
        <v>1763</v>
      </c>
      <c r="H545" s="2" t="s">
        <v>1764</v>
      </c>
      <c r="I545" s="2" t="str">
        <f t="shared" si="34"/>
        <v>0.763</v>
      </c>
      <c r="J545" s="2" t="str">
        <f t="shared" si="35"/>
        <v>35.084</v>
      </c>
      <c r="K545" s="2" t="str">
        <f t="shared" si="35"/>
        <v>0.3857</v>
      </c>
      <c r="L545" s="3">
        <v>12.5</v>
      </c>
      <c r="M545">
        <f>((12.82-L545)/12.82)*100</f>
        <v>2.4960998439937621</v>
      </c>
    </row>
    <row r="546" spans="1:13" x14ac:dyDescent="0.35">
      <c r="A546" s="1" t="s">
        <v>10</v>
      </c>
      <c r="B546" t="str">
        <f t="shared" si="33"/>
        <v>C0510</v>
      </c>
      <c r="C546" t="str">
        <f t="shared" si="32"/>
        <v>C</v>
      </c>
      <c r="D546" t="s">
        <v>4</v>
      </c>
      <c r="E546">
        <v>10</v>
      </c>
      <c r="F546" s="2" t="s">
        <v>1765</v>
      </c>
      <c r="G546" s="2" t="s">
        <v>1766</v>
      </c>
      <c r="H546" s="2" t="s">
        <v>1767</v>
      </c>
      <c r="I546" s="2" t="str">
        <f t="shared" si="34"/>
        <v>0.472</v>
      </c>
      <c r="J546" s="2" t="str">
        <f t="shared" si="35"/>
        <v>36.238</v>
      </c>
      <c r="K546" s="2" t="str">
        <f t="shared" si="35"/>
        <v>0.2314</v>
      </c>
      <c r="L546" s="3">
        <v>10.98</v>
      </c>
      <c r="M546">
        <f>((11.24-L546)/11.24)*100</f>
        <v>2.313167259786475</v>
      </c>
    </row>
    <row r="547" spans="1:13" x14ac:dyDescent="0.35">
      <c r="A547" s="1" t="s">
        <v>11</v>
      </c>
      <c r="B547" t="str">
        <f t="shared" si="33"/>
        <v>C0610</v>
      </c>
      <c r="C547" t="str">
        <f t="shared" si="32"/>
        <v>C</v>
      </c>
      <c r="D547" t="s">
        <v>4</v>
      </c>
      <c r="E547">
        <v>10</v>
      </c>
      <c r="F547" s="2" t="s">
        <v>1768</v>
      </c>
      <c r="G547" s="2" t="s">
        <v>1769</v>
      </c>
      <c r="H547" s="2" t="s">
        <v>1770</v>
      </c>
      <c r="I547" s="2" t="str">
        <f t="shared" si="34"/>
        <v>0.456</v>
      </c>
      <c r="J547" s="2" t="str">
        <f t="shared" si="35"/>
        <v>36.155</v>
      </c>
      <c r="K547" s="2" t="str">
        <f t="shared" si="35"/>
        <v>0.2236</v>
      </c>
      <c r="L547" s="3">
        <v>9.14</v>
      </c>
      <c r="M547">
        <f>((9.49-L547)/9.49)*100</f>
        <v>3.6880927291886154</v>
      </c>
    </row>
    <row r="548" spans="1:13" x14ac:dyDescent="0.35">
      <c r="A548" s="1" t="s">
        <v>12</v>
      </c>
      <c r="B548" t="str">
        <f t="shared" si="33"/>
        <v>C0710</v>
      </c>
      <c r="C548" t="str">
        <f t="shared" si="32"/>
        <v>C</v>
      </c>
      <c r="D548" t="s">
        <v>4</v>
      </c>
      <c r="E548">
        <v>10</v>
      </c>
      <c r="F548" s="2" t="s">
        <v>1771</v>
      </c>
      <c r="G548" s="2" t="s">
        <v>1772</v>
      </c>
      <c r="H548" s="2" t="s">
        <v>1773</v>
      </c>
      <c r="I548" s="2" t="str">
        <f t="shared" si="34"/>
        <v>1.160</v>
      </c>
      <c r="J548" s="2" t="str">
        <f t="shared" si="35"/>
        <v>33.928</v>
      </c>
      <c r="K548" s="2" t="str">
        <f t="shared" si="35"/>
        <v>0.6074</v>
      </c>
      <c r="L548" s="3">
        <v>11.99</v>
      </c>
      <c r="M548">
        <f>((12.19-L548)/12.19)*100</f>
        <v>1.6406890894175494</v>
      </c>
    </row>
    <row r="549" spans="1:13" x14ac:dyDescent="0.35">
      <c r="A549" s="1" t="s">
        <v>13</v>
      </c>
      <c r="B549" t="str">
        <f t="shared" si="33"/>
        <v>C0810</v>
      </c>
      <c r="C549" t="str">
        <f t="shared" si="32"/>
        <v>C</v>
      </c>
      <c r="D549" t="s">
        <v>4</v>
      </c>
      <c r="E549">
        <v>10</v>
      </c>
      <c r="F549" s="2" t="s">
        <v>1774</v>
      </c>
      <c r="G549" s="2" t="s">
        <v>1775</v>
      </c>
      <c r="H549" s="2" t="s">
        <v>1776</v>
      </c>
      <c r="I549" s="2" t="str">
        <f t="shared" si="34"/>
        <v>0.566</v>
      </c>
      <c r="J549" s="2" t="str">
        <f t="shared" si="35"/>
        <v>35.240</v>
      </c>
      <c r="K549" s="2" t="str">
        <f t="shared" si="35"/>
        <v>0.2844</v>
      </c>
      <c r="L549" s="3">
        <v>8.74</v>
      </c>
      <c r="M549">
        <f>((9.02-L549)/9.02)*100</f>
        <v>3.104212860310414</v>
      </c>
    </row>
    <row r="550" spans="1:13" x14ac:dyDescent="0.35">
      <c r="A550" s="1" t="s">
        <v>14</v>
      </c>
      <c r="B550" t="str">
        <f t="shared" si="33"/>
        <v>C0910</v>
      </c>
      <c r="C550" t="str">
        <f t="shared" si="32"/>
        <v>C</v>
      </c>
      <c r="D550" t="s">
        <v>4</v>
      </c>
      <c r="E550">
        <v>10</v>
      </c>
      <c r="F550" s="2" t="s">
        <v>1777</v>
      </c>
      <c r="G550" s="2" t="s">
        <v>1778</v>
      </c>
      <c r="H550" s="2" t="s">
        <v>1779</v>
      </c>
      <c r="I550" s="2" t="str">
        <f t="shared" si="34"/>
        <v>0.527</v>
      </c>
      <c r="J550" s="2" t="str">
        <f t="shared" si="35"/>
        <v>35.687</v>
      </c>
      <c r="K550" s="2" t="str">
        <f t="shared" si="35"/>
        <v>0.2622</v>
      </c>
      <c r="L550" s="3">
        <v>8.44</v>
      </c>
      <c r="M550">
        <f>((8.66-L550)/8.66)*100</f>
        <v>2.540415704387998</v>
      </c>
    </row>
    <row r="551" spans="1:13" x14ac:dyDescent="0.35">
      <c r="A551" s="1" t="s">
        <v>15</v>
      </c>
      <c r="B551" t="str">
        <f t="shared" si="33"/>
        <v>C1010</v>
      </c>
      <c r="C551" t="str">
        <f t="shared" si="32"/>
        <v>C</v>
      </c>
      <c r="D551" t="s">
        <v>4</v>
      </c>
      <c r="E551">
        <v>10</v>
      </c>
      <c r="F551" s="2" t="s">
        <v>1780</v>
      </c>
      <c r="G551" s="2" t="s">
        <v>1781</v>
      </c>
      <c r="H551" s="2" t="s">
        <v>1782</v>
      </c>
      <c r="I551" s="2" t="str">
        <f t="shared" si="34"/>
        <v>0.779</v>
      </c>
      <c r="J551" s="2" t="str">
        <f t="shared" si="35"/>
        <v>38.666</v>
      </c>
      <c r="K551" s="2" t="str">
        <f t="shared" si="35"/>
        <v>0.3574</v>
      </c>
      <c r="L551" s="3">
        <v>12.43</v>
      </c>
      <c r="M551">
        <f>((12.87-L551)/12.87)*100</f>
        <v>3.4188034188034151</v>
      </c>
    </row>
    <row r="552" spans="1:13" x14ac:dyDescent="0.35">
      <c r="A552" s="1" t="s">
        <v>16</v>
      </c>
      <c r="B552" t="str">
        <f t="shared" si="33"/>
        <v>C1110</v>
      </c>
      <c r="C552" t="str">
        <f t="shared" si="32"/>
        <v>C</v>
      </c>
      <c r="D552" t="s">
        <v>4</v>
      </c>
      <c r="E552">
        <v>10</v>
      </c>
      <c r="F552" s="2" t="s">
        <v>1783</v>
      </c>
      <c r="G552" s="2" t="s">
        <v>1784</v>
      </c>
      <c r="H552" s="2" t="s">
        <v>1785</v>
      </c>
      <c r="I552" s="2" t="str">
        <f t="shared" si="34"/>
        <v>0.896</v>
      </c>
      <c r="J552" s="2" t="str">
        <f t="shared" si="35"/>
        <v>36.709</v>
      </c>
      <c r="K552" s="2" t="str">
        <f t="shared" si="35"/>
        <v>0.4333</v>
      </c>
      <c r="L552" s="3">
        <v>7.82</v>
      </c>
      <c r="M552">
        <f>((8.02-L552)/8.02)*100</f>
        <v>2.4937655860349039</v>
      </c>
    </row>
    <row r="553" spans="1:13" x14ac:dyDescent="0.35">
      <c r="A553" s="1" t="s">
        <v>17</v>
      </c>
      <c r="B553" t="str">
        <f t="shared" si="33"/>
        <v>C1210</v>
      </c>
      <c r="C553" t="str">
        <f t="shared" si="32"/>
        <v>C</v>
      </c>
      <c r="D553" t="s">
        <v>4</v>
      </c>
      <c r="E553">
        <v>10</v>
      </c>
      <c r="F553" s="2" t="s">
        <v>1786</v>
      </c>
      <c r="G553" s="2" t="s">
        <v>1787</v>
      </c>
      <c r="H553" s="2" t="s">
        <v>1788</v>
      </c>
      <c r="I553" s="2" t="str">
        <f t="shared" si="34"/>
        <v>0.487</v>
      </c>
      <c r="J553" s="2" t="str">
        <f t="shared" si="35"/>
        <v>38.717</v>
      </c>
      <c r="K553" s="2" t="str">
        <f t="shared" si="35"/>
        <v>0.2227</v>
      </c>
      <c r="L553" s="3">
        <v>8.7899999999999991</v>
      </c>
      <c r="M553">
        <f>((9.02-L553)/9.02)*100</f>
        <v>2.5498891352549937</v>
      </c>
    </row>
    <row r="554" spans="1:13" x14ac:dyDescent="0.35">
      <c r="A554" s="1" t="s">
        <v>18</v>
      </c>
      <c r="B554" t="str">
        <f t="shared" si="33"/>
        <v>C1310</v>
      </c>
      <c r="C554" t="str">
        <f t="shared" si="32"/>
        <v>C</v>
      </c>
      <c r="D554" t="s">
        <v>4</v>
      </c>
      <c r="E554">
        <v>10</v>
      </c>
      <c r="F554" s="2" t="s">
        <v>1789</v>
      </c>
      <c r="G554" s="2" t="s">
        <v>1790</v>
      </c>
      <c r="H554" s="2" t="s">
        <v>1791</v>
      </c>
      <c r="I554" s="2" t="str">
        <f t="shared" si="34"/>
        <v>0.972</v>
      </c>
      <c r="J554" s="2" t="str">
        <f t="shared" si="35"/>
        <v>36.484</v>
      </c>
      <c r="K554" s="2" t="str">
        <f t="shared" si="35"/>
        <v>0.4709</v>
      </c>
      <c r="L554" s="3">
        <v>10.26</v>
      </c>
      <c r="M554">
        <f>((10.68-L554)/10.68)*100</f>
        <v>3.9325842696629207</v>
      </c>
    </row>
    <row r="555" spans="1:13" x14ac:dyDescent="0.35">
      <c r="A555" s="1" t="s">
        <v>19</v>
      </c>
      <c r="B555" t="str">
        <f t="shared" si="33"/>
        <v>C1410</v>
      </c>
      <c r="C555" t="str">
        <f t="shared" si="32"/>
        <v>C</v>
      </c>
      <c r="D555" t="s">
        <v>4</v>
      </c>
      <c r="E555">
        <v>10</v>
      </c>
      <c r="F555" s="2" t="s">
        <v>1792</v>
      </c>
      <c r="G555" s="2" t="s">
        <v>1793</v>
      </c>
      <c r="H555" s="2" t="s">
        <v>1794</v>
      </c>
      <c r="I555" s="2" t="str">
        <f t="shared" si="34"/>
        <v>0.489</v>
      </c>
      <c r="J555" s="2" t="str">
        <f t="shared" si="35"/>
        <v>35.999</v>
      </c>
      <c r="K555" s="2" t="str">
        <f t="shared" si="35"/>
        <v>0.2409</v>
      </c>
      <c r="L555" s="3">
        <v>9</v>
      </c>
      <c r="M555">
        <f>((9.31-L555)/9.31)*100</f>
        <v>3.3297529538131094</v>
      </c>
    </row>
    <row r="556" spans="1:13" x14ac:dyDescent="0.35">
      <c r="A556" s="1" t="s">
        <v>20</v>
      </c>
      <c r="B556" t="str">
        <f t="shared" si="33"/>
        <v>C1510</v>
      </c>
      <c r="C556" t="str">
        <f t="shared" si="32"/>
        <v>C</v>
      </c>
      <c r="D556" t="s">
        <v>4</v>
      </c>
      <c r="E556">
        <v>10</v>
      </c>
      <c r="F556" s="2" t="s">
        <v>1795</v>
      </c>
      <c r="G556" s="2" t="s">
        <v>1796</v>
      </c>
      <c r="H556" s="2" t="s">
        <v>1797</v>
      </c>
      <c r="I556" s="2" t="str">
        <f t="shared" si="34"/>
        <v>1.098</v>
      </c>
      <c r="J556" s="2" t="str">
        <f t="shared" si="35"/>
        <v>39.295</v>
      </c>
      <c r="K556" s="2" t="str">
        <f t="shared" si="35"/>
        <v>0.4950</v>
      </c>
      <c r="L556" s="3">
        <v>12.65</v>
      </c>
      <c r="M556">
        <f>((12.96-L556)/12.96)*100</f>
        <v>2.391975308641979</v>
      </c>
    </row>
    <row r="557" spans="1:13" x14ac:dyDescent="0.35">
      <c r="A557" s="1" t="s">
        <v>22</v>
      </c>
      <c r="B557" t="str">
        <f t="shared" si="33"/>
        <v>C1610</v>
      </c>
      <c r="C557" t="str">
        <f t="shared" si="32"/>
        <v>C</v>
      </c>
      <c r="D557" t="s">
        <v>4</v>
      </c>
      <c r="E557">
        <v>10</v>
      </c>
      <c r="F557" s="2" t="s">
        <v>1798</v>
      </c>
      <c r="G557" s="2" t="s">
        <v>1799</v>
      </c>
      <c r="H557" s="2" t="s">
        <v>1800</v>
      </c>
      <c r="I557" s="2" t="str">
        <f t="shared" si="34"/>
        <v>0.547</v>
      </c>
      <c r="J557" s="2" t="str">
        <f t="shared" si="35"/>
        <v>36.760</v>
      </c>
      <c r="K557" s="2" t="str">
        <f t="shared" si="35"/>
        <v>0.2648</v>
      </c>
      <c r="L557" s="3">
        <v>12.65</v>
      </c>
      <c r="M557">
        <f>((13.01-L557)/13.01)*100</f>
        <v>2.767102229054569</v>
      </c>
    </row>
    <row r="558" spans="1:13" x14ac:dyDescent="0.35">
      <c r="A558" s="1" t="s">
        <v>23</v>
      </c>
      <c r="B558" t="str">
        <f t="shared" si="33"/>
        <v>C1710</v>
      </c>
      <c r="C558" t="str">
        <f t="shared" si="32"/>
        <v>C</v>
      </c>
      <c r="D558" t="s">
        <v>4</v>
      </c>
      <c r="E558">
        <v>10</v>
      </c>
      <c r="F558" s="2" t="s">
        <v>1801</v>
      </c>
      <c r="G558" s="2" t="s">
        <v>1802</v>
      </c>
      <c r="H558" s="2" t="s">
        <v>1803</v>
      </c>
      <c r="I558" s="2" t="str">
        <f t="shared" si="34"/>
        <v>0.897</v>
      </c>
      <c r="J558" s="2" t="str">
        <f t="shared" si="35"/>
        <v>37.802</v>
      </c>
      <c r="K558" s="2" t="str">
        <f t="shared" si="35"/>
        <v>0.4207</v>
      </c>
      <c r="L558" s="3">
        <v>8</v>
      </c>
      <c r="M558">
        <f>((8.28-L558)/8.28)*100</f>
        <v>3.3816425120772875</v>
      </c>
    </row>
    <row r="559" spans="1:13" x14ac:dyDescent="0.35">
      <c r="A559" s="1" t="s">
        <v>24</v>
      </c>
      <c r="B559" t="str">
        <f t="shared" si="33"/>
        <v>C1810</v>
      </c>
      <c r="C559" t="str">
        <f t="shared" si="32"/>
        <v>C</v>
      </c>
      <c r="D559" t="s">
        <v>4</v>
      </c>
      <c r="E559">
        <v>10</v>
      </c>
      <c r="F559" s="2" t="s">
        <v>1804</v>
      </c>
      <c r="G559" s="2" t="s">
        <v>1805</v>
      </c>
      <c r="H559" s="2" t="s">
        <v>1806</v>
      </c>
      <c r="I559" s="2" t="str">
        <f t="shared" si="34"/>
        <v>0.985</v>
      </c>
      <c r="J559" s="2" t="str">
        <f t="shared" si="35"/>
        <v>36.245</v>
      </c>
      <c r="K559" s="2" t="str">
        <f t="shared" si="35"/>
        <v>0.4824</v>
      </c>
      <c r="L559" s="3">
        <v>8.3000000000000007</v>
      </c>
      <c r="M559">
        <f>((8.57-L559)/8.57)*100</f>
        <v>3.1505250875145809</v>
      </c>
    </row>
    <row r="560" spans="1:13" x14ac:dyDescent="0.35">
      <c r="A560" s="1" t="s">
        <v>25</v>
      </c>
      <c r="B560" t="str">
        <f t="shared" si="33"/>
        <v>C1910</v>
      </c>
      <c r="C560" t="str">
        <f t="shared" si="32"/>
        <v>C</v>
      </c>
      <c r="D560" t="s">
        <v>4</v>
      </c>
      <c r="E560">
        <v>10</v>
      </c>
      <c r="F560" s="2" t="s">
        <v>1807</v>
      </c>
      <c r="G560" s="2" t="s">
        <v>1808</v>
      </c>
      <c r="H560" s="2" t="s">
        <v>1809</v>
      </c>
      <c r="I560" s="2" t="str">
        <f t="shared" si="34"/>
        <v>0.451</v>
      </c>
      <c r="J560" s="2" t="str">
        <f t="shared" si="35"/>
        <v>36.940</v>
      </c>
      <c r="K560" s="2" t="str">
        <f t="shared" si="35"/>
        <v>0.2168</v>
      </c>
      <c r="L560" s="3">
        <v>8.57</v>
      </c>
      <c r="M560">
        <f>((8.79-L560)/8.79)*100</f>
        <v>2.5028441410693842</v>
      </c>
    </row>
    <row r="561" spans="1:13" x14ac:dyDescent="0.35">
      <c r="A561" s="1" t="s">
        <v>26</v>
      </c>
      <c r="B561" t="str">
        <f t="shared" si="33"/>
        <v>C2010</v>
      </c>
      <c r="C561" t="str">
        <f t="shared" si="32"/>
        <v>C</v>
      </c>
      <c r="D561" t="s">
        <v>4</v>
      </c>
      <c r="E561">
        <v>10</v>
      </c>
      <c r="F561" s="2" t="s">
        <v>1810</v>
      </c>
      <c r="G561" s="2" t="s">
        <v>1811</v>
      </c>
      <c r="H561" s="2" t="s">
        <v>1812</v>
      </c>
      <c r="I561" s="2" t="str">
        <f t="shared" si="34"/>
        <v>1.143</v>
      </c>
      <c r="J561" s="2" t="str">
        <f t="shared" si="35"/>
        <v>36.408</v>
      </c>
      <c r="K561" s="2" t="str">
        <f t="shared" si="35"/>
        <v>0.5556</v>
      </c>
      <c r="L561" s="3">
        <v>8.31</v>
      </c>
      <c r="M561">
        <f>((8.56-L561)/8.56)*100</f>
        <v>2.9205607476635516</v>
      </c>
    </row>
    <row r="562" spans="1:13" x14ac:dyDescent="0.35">
      <c r="A562" s="1" t="s">
        <v>27</v>
      </c>
      <c r="B562" t="str">
        <f t="shared" si="33"/>
        <v>C2110</v>
      </c>
      <c r="C562" t="str">
        <f t="shared" si="32"/>
        <v>C</v>
      </c>
      <c r="D562" t="s">
        <v>4</v>
      </c>
      <c r="E562">
        <v>10</v>
      </c>
      <c r="F562" s="2" t="s">
        <v>1813</v>
      </c>
      <c r="G562" s="2" t="s">
        <v>1814</v>
      </c>
      <c r="H562" s="2" t="s">
        <v>1815</v>
      </c>
      <c r="I562" s="2" t="str">
        <f t="shared" si="34"/>
        <v>0.698</v>
      </c>
      <c r="J562" s="2" t="str">
        <f t="shared" si="35"/>
        <v>36.127</v>
      </c>
      <c r="K562" s="2" t="str">
        <f t="shared" si="35"/>
        <v>0.3439</v>
      </c>
      <c r="L562" s="3">
        <v>11.38</v>
      </c>
      <c r="M562">
        <f>((11.72-L562)/11.72)*100</f>
        <v>2.9010238907849817</v>
      </c>
    </row>
    <row r="563" spans="1:13" x14ac:dyDescent="0.35">
      <c r="A563" s="1" t="s">
        <v>28</v>
      </c>
      <c r="B563" t="str">
        <f t="shared" si="33"/>
        <v>C2210</v>
      </c>
      <c r="C563" t="str">
        <f t="shared" si="32"/>
        <v>C</v>
      </c>
      <c r="D563" t="s">
        <v>4</v>
      </c>
      <c r="E563">
        <v>10</v>
      </c>
      <c r="F563" s="2" t="s">
        <v>1816</v>
      </c>
      <c r="G563" s="2" t="s">
        <v>1817</v>
      </c>
      <c r="H563" s="2" t="s">
        <v>1818</v>
      </c>
      <c r="I563" s="2" t="str">
        <f t="shared" si="34"/>
        <v>0.557</v>
      </c>
      <c r="J563" s="2" t="str">
        <f t="shared" si="35"/>
        <v>35.222</v>
      </c>
      <c r="K563" s="2" t="str">
        <f t="shared" si="35"/>
        <v>0.2807</v>
      </c>
      <c r="L563" s="3">
        <v>9.83</v>
      </c>
      <c r="M563">
        <f>((10.19-L563)/10.19)*100</f>
        <v>3.5328753680078457</v>
      </c>
    </row>
    <row r="564" spans="1:13" x14ac:dyDescent="0.35">
      <c r="A564" s="1" t="s">
        <v>29</v>
      </c>
      <c r="B564" t="str">
        <f t="shared" si="33"/>
        <v>C2310</v>
      </c>
      <c r="C564" t="str">
        <f t="shared" si="32"/>
        <v>C</v>
      </c>
      <c r="D564" t="s">
        <v>4</v>
      </c>
      <c r="E564">
        <v>10</v>
      </c>
      <c r="F564" s="2" t="s">
        <v>1825</v>
      </c>
      <c r="G564" s="2" t="s">
        <v>1826</v>
      </c>
      <c r="H564" s="2" t="s">
        <v>1827</v>
      </c>
      <c r="I564" s="2" t="str">
        <f t="shared" si="34"/>
        <v>1.025</v>
      </c>
      <c r="J564" s="2" t="str">
        <f t="shared" si="35"/>
        <v>37.345</v>
      </c>
      <c r="K564" s="2" t="str">
        <f t="shared" si="35"/>
        <v>0.4869</v>
      </c>
      <c r="L564" s="3">
        <v>6.38</v>
      </c>
      <c r="M564">
        <f>((6.69-L564)/6.69)*100</f>
        <v>4.6337817638266134</v>
      </c>
    </row>
    <row r="565" spans="1:13" x14ac:dyDescent="0.35">
      <c r="A565" s="1" t="s">
        <v>30</v>
      </c>
      <c r="B565" t="str">
        <f t="shared" si="33"/>
        <v>C2410</v>
      </c>
      <c r="C565" t="str">
        <f t="shared" si="32"/>
        <v>C</v>
      </c>
      <c r="D565" t="s">
        <v>4</v>
      </c>
      <c r="E565">
        <v>10</v>
      </c>
      <c r="F565" s="2" t="s">
        <v>1822</v>
      </c>
      <c r="G565" s="2" t="s">
        <v>1823</v>
      </c>
      <c r="H565" s="2" t="s">
        <v>1824</v>
      </c>
      <c r="I565" s="2" t="str">
        <f t="shared" si="34"/>
        <v>0.560</v>
      </c>
      <c r="J565" s="2" t="str">
        <f t="shared" si="35"/>
        <v>33.891</v>
      </c>
      <c r="K565" s="2" t="str">
        <f t="shared" si="35"/>
        <v>0.2927</v>
      </c>
      <c r="L565" s="3">
        <v>6.5</v>
      </c>
      <c r="M565">
        <f>((6.98-L565)/6.98)*100</f>
        <v>6.8767908309455645</v>
      </c>
    </row>
    <row r="566" spans="1:13" x14ac:dyDescent="0.35">
      <c r="A566" s="1" t="s">
        <v>31</v>
      </c>
      <c r="B566" t="str">
        <f t="shared" si="33"/>
        <v>C2510</v>
      </c>
      <c r="C566" t="str">
        <f t="shared" si="32"/>
        <v>C</v>
      </c>
      <c r="D566" t="s">
        <v>4</v>
      </c>
      <c r="E566">
        <v>10</v>
      </c>
      <c r="F566" s="2" t="s">
        <v>1819</v>
      </c>
      <c r="G566" s="2" t="s">
        <v>1820</v>
      </c>
      <c r="H566" s="2" t="s">
        <v>1821</v>
      </c>
      <c r="I566" s="2" t="str">
        <f t="shared" si="34"/>
        <v>0.690</v>
      </c>
      <c r="J566" s="2" t="str">
        <f t="shared" si="35"/>
        <v>33.764</v>
      </c>
      <c r="K566" s="2" t="str">
        <f t="shared" si="35"/>
        <v>0.3620</v>
      </c>
      <c r="L566" s="3">
        <v>11.46</v>
      </c>
      <c r="M566">
        <f>((11.74-L566)/11.74)*100</f>
        <v>2.3850085178875586</v>
      </c>
    </row>
    <row r="567" spans="1:13" x14ac:dyDescent="0.35">
      <c r="A567" s="1" t="s">
        <v>32</v>
      </c>
      <c r="B567" t="str">
        <f t="shared" si="33"/>
        <v>C2610</v>
      </c>
      <c r="C567" t="str">
        <f t="shared" si="32"/>
        <v>C</v>
      </c>
      <c r="D567" t="s">
        <v>4</v>
      </c>
      <c r="E567">
        <v>10</v>
      </c>
      <c r="F567" s="2" t="s">
        <v>1828</v>
      </c>
      <c r="G567" s="2" t="s">
        <v>1829</v>
      </c>
      <c r="H567" s="2" t="s">
        <v>1830</v>
      </c>
      <c r="I567" s="2" t="str">
        <f t="shared" si="34"/>
        <v>0.470</v>
      </c>
      <c r="J567" s="2" t="str">
        <f t="shared" si="35"/>
        <v>34.135</v>
      </c>
      <c r="K567" s="2" t="str">
        <f t="shared" si="35"/>
        <v>0.2438</v>
      </c>
      <c r="L567" s="3">
        <v>6.57</v>
      </c>
      <c r="M567">
        <f>((6.81-L567)/6.81)*100</f>
        <v>3.5242290748898584</v>
      </c>
    </row>
    <row r="568" spans="1:13" x14ac:dyDescent="0.35">
      <c r="A568" s="1" t="s">
        <v>33</v>
      </c>
      <c r="B568" t="str">
        <f t="shared" si="33"/>
        <v>C2710</v>
      </c>
      <c r="C568" t="str">
        <f t="shared" si="32"/>
        <v>C</v>
      </c>
      <c r="D568" t="s">
        <v>4</v>
      </c>
      <c r="E568">
        <v>10</v>
      </c>
      <c r="F568" s="2" t="s">
        <v>1831</v>
      </c>
      <c r="G568" s="2" t="s">
        <v>1832</v>
      </c>
      <c r="H568" s="2" t="s">
        <v>1833</v>
      </c>
      <c r="I568" s="2" t="str">
        <f t="shared" si="34"/>
        <v>1.190</v>
      </c>
      <c r="J568" s="2" t="str">
        <f t="shared" si="35"/>
        <v>37.528</v>
      </c>
      <c r="K568" s="2" t="str">
        <f t="shared" si="35"/>
        <v>0.5630</v>
      </c>
      <c r="L568" s="3">
        <v>12.96</v>
      </c>
      <c r="M568">
        <f>((13.23-L568)/13.23)*100</f>
        <v>2.0408163265306092</v>
      </c>
    </row>
    <row r="569" spans="1:13" x14ac:dyDescent="0.35">
      <c r="A569" s="1" t="s">
        <v>34</v>
      </c>
      <c r="B569" t="str">
        <f t="shared" si="33"/>
        <v>C2810</v>
      </c>
      <c r="C569" t="str">
        <f t="shared" si="32"/>
        <v>C</v>
      </c>
      <c r="D569" t="s">
        <v>4</v>
      </c>
      <c r="E569">
        <v>10</v>
      </c>
      <c r="F569" s="2" t="s">
        <v>1834</v>
      </c>
      <c r="G569" s="2" t="s">
        <v>1835</v>
      </c>
      <c r="H569" s="2" t="s">
        <v>1836</v>
      </c>
      <c r="I569" s="2" t="str">
        <f t="shared" si="34"/>
        <v>1.110</v>
      </c>
      <c r="J569" s="2" t="str">
        <f t="shared" si="35"/>
        <v>35.448</v>
      </c>
      <c r="K569" s="2" t="str">
        <f t="shared" si="35"/>
        <v>0.5519</v>
      </c>
      <c r="L569" s="3">
        <v>10.32</v>
      </c>
      <c r="M569">
        <f>((10.74-L569)/10.74)*100</f>
        <v>3.910614525139664</v>
      </c>
    </row>
    <row r="570" spans="1:13" x14ac:dyDescent="0.35">
      <c r="A570" s="1" t="s">
        <v>35</v>
      </c>
      <c r="B570" t="str">
        <f t="shared" si="33"/>
        <v>C2910</v>
      </c>
      <c r="C570" t="str">
        <f t="shared" si="32"/>
        <v>C</v>
      </c>
      <c r="D570" t="s">
        <v>4</v>
      </c>
      <c r="E570">
        <v>10</v>
      </c>
      <c r="F570" s="2" t="s">
        <v>1837</v>
      </c>
      <c r="G570" s="2" t="s">
        <v>1838</v>
      </c>
      <c r="H570" s="2" t="s">
        <v>1839</v>
      </c>
      <c r="I570" s="2" t="str">
        <f t="shared" si="34"/>
        <v>0.961</v>
      </c>
      <c r="J570" s="2" t="str">
        <f t="shared" si="35"/>
        <v>38.705</v>
      </c>
      <c r="K570" s="2" t="str">
        <f t="shared" si="35"/>
        <v>0.4397</v>
      </c>
      <c r="L570" s="3">
        <v>11.34</v>
      </c>
      <c r="M570">
        <f>((11.59-L570)/11.59)*100</f>
        <v>2.1570319240724762</v>
      </c>
    </row>
    <row r="571" spans="1:13" x14ac:dyDescent="0.35">
      <c r="A571" s="1" t="s">
        <v>36</v>
      </c>
      <c r="B571" t="str">
        <f t="shared" si="33"/>
        <v>C3010</v>
      </c>
      <c r="C571" t="str">
        <f t="shared" ref="C571:C634" si="36">LEFT(D571,1)</f>
        <v>C</v>
      </c>
      <c r="D571" t="s">
        <v>4</v>
      </c>
      <c r="E571">
        <v>10</v>
      </c>
      <c r="F571" s="2" t="s">
        <v>1840</v>
      </c>
      <c r="G571" s="2" t="s">
        <v>1841</v>
      </c>
      <c r="H571" s="2" t="s">
        <v>1842</v>
      </c>
      <c r="I571" s="2" t="str">
        <f t="shared" si="34"/>
        <v>0.868</v>
      </c>
      <c r="J571" s="2" t="str">
        <f t="shared" si="35"/>
        <v>35.556</v>
      </c>
      <c r="K571" s="2" t="str">
        <f t="shared" si="35"/>
        <v>0.4322</v>
      </c>
      <c r="L571" s="3">
        <v>9.01</v>
      </c>
      <c r="M571">
        <f>((9.38-L571)/9.38)*100</f>
        <v>3.9445628997867912</v>
      </c>
    </row>
    <row r="572" spans="1:13" x14ac:dyDescent="0.35">
      <c r="A572" s="1" t="s">
        <v>7</v>
      </c>
      <c r="B572" t="str">
        <f t="shared" si="33"/>
        <v>R0110</v>
      </c>
      <c r="C572" t="str">
        <f t="shared" si="36"/>
        <v>R</v>
      </c>
      <c r="D572" t="s">
        <v>5</v>
      </c>
      <c r="E572">
        <v>10</v>
      </c>
      <c r="F572" s="2" t="s">
        <v>454</v>
      </c>
      <c r="G572" s="2" t="s">
        <v>455</v>
      </c>
      <c r="H572" s="2" t="s">
        <v>456</v>
      </c>
      <c r="I572" s="2" t="str">
        <f t="shared" si="34"/>
        <v>0.835</v>
      </c>
      <c r="J572" s="2" t="str">
        <f t="shared" si="35"/>
        <v>32.306</v>
      </c>
      <c r="K572" s="2" t="str">
        <f t="shared" si="35"/>
        <v>0.4566</v>
      </c>
      <c r="L572" s="3">
        <v>9.24</v>
      </c>
      <c r="M572">
        <f>((10.2-L572)/10.2)*100</f>
        <v>9.4117647058823444</v>
      </c>
    </row>
    <row r="573" spans="1:13" x14ac:dyDescent="0.35">
      <c r="A573" s="1" t="s">
        <v>8</v>
      </c>
      <c r="B573" t="str">
        <f t="shared" si="33"/>
        <v>R0210</v>
      </c>
      <c r="C573" t="str">
        <f t="shared" si="36"/>
        <v>R</v>
      </c>
      <c r="D573" t="s">
        <v>5</v>
      </c>
      <c r="E573">
        <v>10</v>
      </c>
      <c r="F573" s="2" t="s">
        <v>1666</v>
      </c>
      <c r="G573" s="2" t="s">
        <v>1667</v>
      </c>
      <c r="H573" s="2" t="s">
        <v>1668</v>
      </c>
      <c r="I573" s="2" t="str">
        <f t="shared" si="34"/>
        <v>0.957</v>
      </c>
      <c r="J573" s="2" t="str">
        <f t="shared" si="35"/>
        <v>33.460</v>
      </c>
      <c r="K573" s="2" t="str">
        <f t="shared" si="35"/>
        <v>0.5064</v>
      </c>
      <c r="L573" s="3">
        <v>8.11</v>
      </c>
      <c r="M573">
        <f>((8.9-L573)/8.9)*100</f>
        <v>8.8764044943820331</v>
      </c>
    </row>
    <row r="574" spans="1:13" x14ac:dyDescent="0.35">
      <c r="A574" s="1" t="s">
        <v>21</v>
      </c>
      <c r="B574" t="str">
        <f t="shared" si="33"/>
        <v>R0310</v>
      </c>
      <c r="C574" t="str">
        <f t="shared" si="36"/>
        <v>R</v>
      </c>
      <c r="D574" t="s">
        <v>5</v>
      </c>
      <c r="E574">
        <v>10</v>
      </c>
      <c r="F574" s="2" t="s">
        <v>1669</v>
      </c>
      <c r="G574" s="2" t="s">
        <v>1670</v>
      </c>
      <c r="H574" s="2" t="s">
        <v>1671</v>
      </c>
      <c r="I574" s="2" t="str">
        <f t="shared" si="34"/>
        <v>0.937</v>
      </c>
      <c r="J574" s="2" t="str">
        <f t="shared" si="35"/>
        <v>34.863</v>
      </c>
      <c r="K574" s="2" t="str">
        <f t="shared" si="35"/>
        <v>0.4761</v>
      </c>
      <c r="L574" s="3">
        <v>7.01</v>
      </c>
      <c r="M574">
        <f>((7.72-L574)/7.72)*100</f>
        <v>9.1968911917098435</v>
      </c>
    </row>
    <row r="575" spans="1:13" x14ac:dyDescent="0.35">
      <c r="A575" s="1" t="s">
        <v>9</v>
      </c>
      <c r="B575" t="str">
        <f t="shared" si="33"/>
        <v>R0410</v>
      </c>
      <c r="C575" t="str">
        <f t="shared" si="36"/>
        <v>R</v>
      </c>
      <c r="D575" t="s">
        <v>5</v>
      </c>
      <c r="E575">
        <v>10</v>
      </c>
      <c r="F575" s="2" t="s">
        <v>1672</v>
      </c>
      <c r="G575" s="2" t="s">
        <v>1673</v>
      </c>
      <c r="H575" s="2" t="s">
        <v>1674</v>
      </c>
      <c r="I575" s="2" t="str">
        <f t="shared" si="34"/>
        <v>0.783</v>
      </c>
      <c r="J575" s="2" t="str">
        <f t="shared" si="35"/>
        <v>35.643</v>
      </c>
      <c r="K575" s="2" t="str">
        <f t="shared" si="35"/>
        <v>0.3884</v>
      </c>
      <c r="L575" s="3">
        <v>6</v>
      </c>
      <c r="M575">
        <f>((6.71-L575)/6.71)*100</f>
        <v>10.581222056631892</v>
      </c>
    </row>
    <row r="576" spans="1:13" x14ac:dyDescent="0.35">
      <c r="A576" s="1" t="s">
        <v>10</v>
      </c>
      <c r="B576" t="str">
        <f t="shared" si="33"/>
        <v>R0510</v>
      </c>
      <c r="C576" t="str">
        <f t="shared" si="36"/>
        <v>R</v>
      </c>
      <c r="D576" t="s">
        <v>5</v>
      </c>
      <c r="E576">
        <v>10</v>
      </c>
      <c r="F576" s="2" t="s">
        <v>1675</v>
      </c>
      <c r="G576" s="2" t="s">
        <v>1676</v>
      </c>
      <c r="H576" s="2" t="s">
        <v>1677</v>
      </c>
      <c r="I576" s="2" t="str">
        <f t="shared" si="34"/>
        <v>1.173</v>
      </c>
      <c r="J576" s="2" t="str">
        <f t="shared" si="35"/>
        <v>35.354</v>
      </c>
      <c r="K576" s="2" t="str">
        <f t="shared" si="35"/>
        <v>0.5877</v>
      </c>
      <c r="L576" s="3">
        <v>6.78</v>
      </c>
      <c r="M576">
        <f>((7.58-L576)/7.58)*100</f>
        <v>10.554089709762531</v>
      </c>
    </row>
    <row r="577" spans="1:13" x14ac:dyDescent="0.35">
      <c r="A577" s="1" t="s">
        <v>11</v>
      </c>
      <c r="B577" t="str">
        <f t="shared" si="33"/>
        <v>R0610</v>
      </c>
      <c r="C577" t="str">
        <f t="shared" si="36"/>
        <v>R</v>
      </c>
      <c r="D577" t="s">
        <v>5</v>
      </c>
      <c r="E577">
        <v>10</v>
      </c>
      <c r="F577" s="2" t="s">
        <v>1678</v>
      </c>
      <c r="G577" s="2" t="s">
        <v>1679</v>
      </c>
      <c r="H577" s="2" t="s">
        <v>1680</v>
      </c>
      <c r="I577" s="2" t="str">
        <f t="shared" si="34"/>
        <v>0.521</v>
      </c>
      <c r="J577" s="2" t="str">
        <f t="shared" si="35"/>
        <v>31.576</v>
      </c>
      <c r="K577" s="2" t="str">
        <f t="shared" si="35"/>
        <v>0.2930</v>
      </c>
      <c r="L577" s="3">
        <v>7.67</v>
      </c>
      <c r="M577">
        <f>((8.47-L577)/8.47)*100</f>
        <v>9.4451003541912719</v>
      </c>
    </row>
    <row r="578" spans="1:13" x14ac:dyDescent="0.35">
      <c r="A578" s="1" t="s">
        <v>12</v>
      </c>
      <c r="B578" t="str">
        <f t="shared" si="33"/>
        <v>R0710</v>
      </c>
      <c r="C578" t="str">
        <f t="shared" si="36"/>
        <v>R</v>
      </c>
      <c r="D578" t="s">
        <v>5</v>
      </c>
      <c r="E578">
        <v>10</v>
      </c>
      <c r="F578" s="2" t="s">
        <v>1681</v>
      </c>
      <c r="G578" s="2" t="s">
        <v>1682</v>
      </c>
      <c r="H578" s="2" t="s">
        <v>1683</v>
      </c>
      <c r="I578" s="2" t="str">
        <f t="shared" si="34"/>
        <v>0.608</v>
      </c>
      <c r="J578" s="2" t="str">
        <f t="shared" si="35"/>
        <v>34.432</v>
      </c>
      <c r="K578" s="2" t="str">
        <f t="shared" si="35"/>
        <v>0.3202</v>
      </c>
      <c r="L578" s="3">
        <v>8.9600000000000009</v>
      </c>
      <c r="M578">
        <f>((9.75-L578)/9.75)*100</f>
        <v>8.1025641025640951</v>
      </c>
    </row>
    <row r="579" spans="1:13" x14ac:dyDescent="0.35">
      <c r="A579" s="1" t="s">
        <v>13</v>
      </c>
      <c r="B579" t="str">
        <f t="shared" ref="B579:B642" si="37">CONCATENATE(C579,A579,E579)</f>
        <v>R0810</v>
      </c>
      <c r="C579" t="str">
        <f t="shared" si="36"/>
        <v>R</v>
      </c>
      <c r="D579" t="s">
        <v>5</v>
      </c>
      <c r="E579">
        <v>10</v>
      </c>
      <c r="F579" s="2" t="s">
        <v>1684</v>
      </c>
      <c r="G579" s="2" t="s">
        <v>1685</v>
      </c>
      <c r="H579" s="2" t="s">
        <v>1686</v>
      </c>
      <c r="I579" s="2" t="str">
        <f t="shared" ref="I579:I642" si="38">LEFT(F579,5)</f>
        <v>0.513</v>
      </c>
      <c r="J579" s="2" t="str">
        <f t="shared" si="35"/>
        <v>36.497</v>
      </c>
      <c r="K579" s="2" t="str">
        <f t="shared" si="35"/>
        <v>0.2489</v>
      </c>
      <c r="L579" s="3">
        <v>9.74</v>
      </c>
      <c r="M579">
        <f>((10.46-L579)/10.46)*100</f>
        <v>6.8833652007648238</v>
      </c>
    </row>
    <row r="580" spans="1:13" x14ac:dyDescent="0.35">
      <c r="A580" s="1" t="s">
        <v>14</v>
      </c>
      <c r="B580" t="str">
        <f t="shared" si="37"/>
        <v>R0910</v>
      </c>
      <c r="C580" t="str">
        <f t="shared" si="36"/>
        <v>R</v>
      </c>
      <c r="D580" t="s">
        <v>5</v>
      </c>
      <c r="E580">
        <v>10</v>
      </c>
      <c r="F580" s="2" t="s">
        <v>1687</v>
      </c>
      <c r="G580" s="2" t="s">
        <v>1688</v>
      </c>
      <c r="H580" s="2" t="s">
        <v>1689</v>
      </c>
      <c r="I580" s="2" t="str">
        <f t="shared" si="38"/>
        <v>0.918</v>
      </c>
      <c r="J580" s="2" t="str">
        <f t="shared" si="35"/>
        <v>36.438</v>
      </c>
      <c r="K580" s="2" t="str">
        <f t="shared" si="35"/>
        <v>0.4462</v>
      </c>
      <c r="L580" s="3">
        <v>8.8800000000000008</v>
      </c>
      <c r="M580">
        <f>((9.52-L580)/9.52)*100</f>
        <v>6.7226890756302389</v>
      </c>
    </row>
    <row r="581" spans="1:13" x14ac:dyDescent="0.35">
      <c r="A581" s="1" t="s">
        <v>15</v>
      </c>
      <c r="B581" t="str">
        <f t="shared" si="37"/>
        <v>R1010</v>
      </c>
      <c r="C581" t="str">
        <f t="shared" si="36"/>
        <v>R</v>
      </c>
      <c r="D581" t="s">
        <v>5</v>
      </c>
      <c r="E581">
        <v>10</v>
      </c>
      <c r="F581" s="2" t="s">
        <v>1690</v>
      </c>
      <c r="G581" s="2" t="s">
        <v>1691</v>
      </c>
      <c r="H581" s="2" t="s">
        <v>1692</v>
      </c>
      <c r="I581" s="2" t="str">
        <f t="shared" si="38"/>
        <v>0.894</v>
      </c>
      <c r="J581" s="2" t="str">
        <f t="shared" ref="J581:K644" si="39">LEFT(G581,6)</f>
        <v>37.658</v>
      </c>
      <c r="K581" s="2" t="str">
        <f t="shared" si="39"/>
        <v>0.4184</v>
      </c>
      <c r="L581" s="3">
        <v>13.71</v>
      </c>
      <c r="M581">
        <f>((14.55-L581)/14.55)*100</f>
        <v>5.7731958762886588</v>
      </c>
    </row>
    <row r="582" spans="1:13" x14ac:dyDescent="0.35">
      <c r="A582" s="1" t="s">
        <v>16</v>
      </c>
      <c r="B582" t="str">
        <f t="shared" si="37"/>
        <v>R1110</v>
      </c>
      <c r="C582" t="str">
        <f t="shared" si="36"/>
        <v>R</v>
      </c>
      <c r="D582" t="s">
        <v>5</v>
      </c>
      <c r="E582">
        <v>10</v>
      </c>
      <c r="F582" s="2" t="s">
        <v>1693</v>
      </c>
      <c r="G582" s="2" t="s">
        <v>1694</v>
      </c>
      <c r="H582" s="2" t="s">
        <v>1695</v>
      </c>
      <c r="I582" s="2" t="str">
        <f t="shared" si="38"/>
        <v>0.430</v>
      </c>
      <c r="J582" s="2" t="str">
        <f t="shared" si="39"/>
        <v>38.114</v>
      </c>
      <c r="K582" s="2" t="str">
        <f t="shared" si="39"/>
        <v>0.2000</v>
      </c>
      <c r="L582" s="3">
        <v>8.15</v>
      </c>
      <c r="M582">
        <f>((8.99-L582)/8.99)*100</f>
        <v>9.3437152391546139</v>
      </c>
    </row>
    <row r="583" spans="1:13" x14ac:dyDescent="0.35">
      <c r="A583" s="1" t="s">
        <v>17</v>
      </c>
      <c r="B583" t="str">
        <f t="shared" si="37"/>
        <v>R1210</v>
      </c>
      <c r="C583" t="str">
        <f t="shared" si="36"/>
        <v>R</v>
      </c>
      <c r="D583" t="s">
        <v>5</v>
      </c>
      <c r="E583">
        <v>10</v>
      </c>
      <c r="F583" s="2" t="s">
        <v>1696</v>
      </c>
      <c r="G583" s="2" t="s">
        <v>1697</v>
      </c>
      <c r="H583" s="2" t="s">
        <v>1698</v>
      </c>
      <c r="I583" s="2" t="str">
        <f t="shared" si="38"/>
        <v>0.638</v>
      </c>
      <c r="J583" s="2" t="str">
        <f t="shared" si="39"/>
        <v>36.300</v>
      </c>
      <c r="K583" s="2" t="str">
        <f t="shared" si="39"/>
        <v>0.3124</v>
      </c>
      <c r="L583" s="3">
        <v>8.68</v>
      </c>
      <c r="M583">
        <f>((9.52-L583)/9.52)*100</f>
        <v>8.8235294117647047</v>
      </c>
    </row>
    <row r="584" spans="1:13" x14ac:dyDescent="0.35">
      <c r="A584" s="1" t="s">
        <v>18</v>
      </c>
      <c r="B584" t="str">
        <f t="shared" si="37"/>
        <v>R1310</v>
      </c>
      <c r="C584" t="str">
        <f t="shared" si="36"/>
        <v>R</v>
      </c>
      <c r="D584" t="s">
        <v>5</v>
      </c>
      <c r="E584">
        <v>10</v>
      </c>
      <c r="F584" s="2" t="s">
        <v>1699</v>
      </c>
      <c r="G584" s="2" t="s">
        <v>1700</v>
      </c>
      <c r="H584" s="2" t="s">
        <v>1701</v>
      </c>
      <c r="I584" s="2" t="str">
        <f t="shared" si="38"/>
        <v>0.721</v>
      </c>
      <c r="J584" s="2" t="str">
        <f t="shared" si="39"/>
        <v>32.265</v>
      </c>
      <c r="K584" s="2" t="str">
        <f t="shared" si="39"/>
        <v>0.3960</v>
      </c>
      <c r="L584" s="3">
        <v>9.42</v>
      </c>
      <c r="M584">
        <f>((10.58-L584)/10.58)*100</f>
        <v>10.964083175803403</v>
      </c>
    </row>
    <row r="585" spans="1:13" x14ac:dyDescent="0.35">
      <c r="A585" s="1" t="s">
        <v>19</v>
      </c>
      <c r="B585" t="str">
        <f t="shared" si="37"/>
        <v>R1410</v>
      </c>
      <c r="C585" t="str">
        <f t="shared" si="36"/>
        <v>R</v>
      </c>
      <c r="D585" t="s">
        <v>5</v>
      </c>
      <c r="E585">
        <v>10</v>
      </c>
      <c r="F585" s="2" t="s">
        <v>1702</v>
      </c>
      <c r="G585" s="2" t="s">
        <v>1703</v>
      </c>
      <c r="H585" s="2" t="s">
        <v>1704</v>
      </c>
      <c r="I585" s="2" t="str">
        <f t="shared" si="38"/>
        <v>0.565</v>
      </c>
      <c r="J585" s="2" t="str">
        <f t="shared" si="39"/>
        <v>35.168</v>
      </c>
      <c r="K585" s="2" t="str">
        <f t="shared" si="39"/>
        <v>0.2847</v>
      </c>
      <c r="L585" s="3">
        <v>10.32</v>
      </c>
      <c r="M585">
        <f>((11.2-L585)/11.2)*100</f>
        <v>7.8571428571428488</v>
      </c>
    </row>
    <row r="586" spans="1:13" x14ac:dyDescent="0.35">
      <c r="A586" s="1" t="s">
        <v>20</v>
      </c>
      <c r="B586" t="str">
        <f t="shared" si="37"/>
        <v>R1510</v>
      </c>
      <c r="C586" t="str">
        <f t="shared" si="36"/>
        <v>R</v>
      </c>
      <c r="D586" t="s">
        <v>5</v>
      </c>
      <c r="E586">
        <v>10</v>
      </c>
      <c r="F586" s="2" t="s">
        <v>1705</v>
      </c>
      <c r="G586" s="2" t="s">
        <v>1706</v>
      </c>
      <c r="H586" s="2" t="s">
        <v>1707</v>
      </c>
      <c r="I586" s="2" t="str">
        <f t="shared" si="38"/>
        <v>1.039</v>
      </c>
      <c r="J586" s="2" t="str">
        <f t="shared" si="39"/>
        <v>36.525</v>
      </c>
      <c r="K586" s="2" t="str">
        <f t="shared" si="39"/>
        <v>0.5039</v>
      </c>
      <c r="L586" s="3">
        <v>9.49</v>
      </c>
      <c r="M586">
        <f>((10.33-L586)/10.33)*100</f>
        <v>8.1316553727008696</v>
      </c>
    </row>
    <row r="587" spans="1:13" x14ac:dyDescent="0.35">
      <c r="A587" s="1" t="s">
        <v>22</v>
      </c>
      <c r="B587" t="str">
        <f t="shared" si="37"/>
        <v>R1610</v>
      </c>
      <c r="C587" t="str">
        <f t="shared" si="36"/>
        <v>R</v>
      </c>
      <c r="D587" t="s">
        <v>5</v>
      </c>
      <c r="E587">
        <v>10</v>
      </c>
      <c r="F587" s="2" t="s">
        <v>1708</v>
      </c>
      <c r="G587" s="2" t="s">
        <v>1709</v>
      </c>
      <c r="H587" s="2" t="s">
        <v>1710</v>
      </c>
      <c r="I587" s="2" t="str">
        <f t="shared" si="38"/>
        <v>1.017</v>
      </c>
      <c r="J587" s="2" t="str">
        <f t="shared" si="39"/>
        <v>34.142</v>
      </c>
      <c r="K587" s="2" t="str">
        <f t="shared" si="39"/>
        <v>0.5292</v>
      </c>
      <c r="L587" s="3">
        <v>7.64</v>
      </c>
      <c r="M587">
        <f>((8.36-L587)/8.36)*100</f>
        <v>8.6124401913875577</v>
      </c>
    </row>
    <row r="588" spans="1:13" x14ac:dyDescent="0.35">
      <c r="A588" s="1" t="s">
        <v>23</v>
      </c>
      <c r="B588" t="str">
        <f t="shared" si="37"/>
        <v>R1710</v>
      </c>
      <c r="C588" t="str">
        <f t="shared" si="36"/>
        <v>R</v>
      </c>
      <c r="D588" t="s">
        <v>5</v>
      </c>
      <c r="E588">
        <v>10</v>
      </c>
      <c r="F588" s="2" t="s">
        <v>1711</v>
      </c>
      <c r="G588" s="2" t="s">
        <v>1712</v>
      </c>
      <c r="H588" s="2" t="s">
        <v>1713</v>
      </c>
      <c r="I588" s="2" t="str">
        <f t="shared" si="38"/>
        <v>0.492</v>
      </c>
      <c r="J588" s="2" t="str">
        <f t="shared" si="39"/>
        <v>35.729</v>
      </c>
      <c r="K588" s="2" t="str">
        <f t="shared" si="39"/>
        <v>0.2448</v>
      </c>
      <c r="L588" s="3">
        <v>10</v>
      </c>
      <c r="M588">
        <f>((10.97-L588)/10.97)*100</f>
        <v>8.8422971741112182</v>
      </c>
    </row>
    <row r="589" spans="1:13" x14ac:dyDescent="0.35">
      <c r="A589" s="1" t="s">
        <v>24</v>
      </c>
      <c r="B589" t="str">
        <f t="shared" si="37"/>
        <v>R1810</v>
      </c>
      <c r="C589" t="str">
        <f t="shared" si="36"/>
        <v>R</v>
      </c>
      <c r="D589" t="s">
        <v>5</v>
      </c>
      <c r="E589">
        <v>10</v>
      </c>
      <c r="F589" s="2" t="s">
        <v>1714</v>
      </c>
      <c r="G589" s="2" t="s">
        <v>1715</v>
      </c>
      <c r="H589" s="2" t="s">
        <v>1716</v>
      </c>
      <c r="I589" s="2" t="str">
        <f t="shared" si="38"/>
        <v>0.995</v>
      </c>
      <c r="J589" s="2" t="str">
        <f t="shared" si="39"/>
        <v>37.147</v>
      </c>
      <c r="K589" s="2" t="str">
        <f t="shared" si="39"/>
        <v>0.4729</v>
      </c>
      <c r="L589" s="3">
        <v>7.28</v>
      </c>
      <c r="M589">
        <f>((8.03-L589)/8.03)*100</f>
        <v>9.3399750933997403</v>
      </c>
    </row>
    <row r="590" spans="1:13" x14ac:dyDescent="0.35">
      <c r="A590" s="1" t="s">
        <v>25</v>
      </c>
      <c r="B590" t="str">
        <f t="shared" si="37"/>
        <v>R1910</v>
      </c>
      <c r="C590" t="str">
        <f t="shared" si="36"/>
        <v>R</v>
      </c>
      <c r="D590" t="s">
        <v>5</v>
      </c>
      <c r="E590">
        <v>10</v>
      </c>
      <c r="F590" s="2" t="s">
        <v>1717</v>
      </c>
      <c r="G590" s="2" t="s">
        <v>1718</v>
      </c>
      <c r="H590" s="2" t="s">
        <v>1719</v>
      </c>
      <c r="I590" s="2" t="str">
        <f t="shared" si="38"/>
        <v>0.478</v>
      </c>
      <c r="J590" s="2" t="str">
        <f t="shared" si="39"/>
        <v>33.862</v>
      </c>
      <c r="K590" s="2" t="str">
        <f t="shared" si="39"/>
        <v>0.2507</v>
      </c>
      <c r="L590" s="3">
        <v>8.1</v>
      </c>
      <c r="M590">
        <f>((8.97-L590)/8.97)*100</f>
        <v>9.6989966555184051</v>
      </c>
    </row>
    <row r="591" spans="1:13" x14ac:dyDescent="0.35">
      <c r="A591" s="1" t="s">
        <v>26</v>
      </c>
      <c r="B591" t="str">
        <f t="shared" si="37"/>
        <v>R2010</v>
      </c>
      <c r="C591" t="str">
        <f t="shared" si="36"/>
        <v>R</v>
      </c>
      <c r="D591" t="s">
        <v>5</v>
      </c>
      <c r="E591">
        <v>10</v>
      </c>
      <c r="F591" s="2" t="s">
        <v>1720</v>
      </c>
      <c r="G591" s="2" t="s">
        <v>1721</v>
      </c>
      <c r="H591" s="2" t="s">
        <v>1722</v>
      </c>
      <c r="I591" s="2" t="str">
        <f t="shared" si="38"/>
        <v>1.059</v>
      </c>
      <c r="J591" s="2" t="str">
        <f t="shared" si="39"/>
        <v>34.653</v>
      </c>
      <c r="K591" s="2" t="str">
        <f t="shared" si="39"/>
        <v>0.5461</v>
      </c>
      <c r="L591" s="3">
        <v>8.4700000000000006</v>
      </c>
      <c r="M591">
        <f>((9.17-L591)/9.17)*100</f>
        <v>7.6335877862595343</v>
      </c>
    </row>
    <row r="592" spans="1:13" x14ac:dyDescent="0.35">
      <c r="A592" s="1" t="s">
        <v>27</v>
      </c>
      <c r="B592" t="str">
        <f t="shared" si="37"/>
        <v>R2110</v>
      </c>
      <c r="C592" t="str">
        <f t="shared" si="36"/>
        <v>R</v>
      </c>
      <c r="D592" t="s">
        <v>5</v>
      </c>
      <c r="E592">
        <v>10</v>
      </c>
      <c r="F592" s="2" t="s">
        <v>1723</v>
      </c>
      <c r="G592" s="2" t="s">
        <v>1724</v>
      </c>
      <c r="H592" s="2" t="s">
        <v>1725</v>
      </c>
      <c r="I592" s="2" t="str">
        <f t="shared" si="38"/>
        <v>0.582</v>
      </c>
      <c r="J592" s="2" t="str">
        <f t="shared" si="39"/>
        <v>34.146</v>
      </c>
      <c r="K592" s="2" t="str">
        <f t="shared" si="39"/>
        <v>0.3018</v>
      </c>
      <c r="L592" s="3">
        <v>10.15</v>
      </c>
      <c r="M592">
        <f>((11.02-L592)/11.02)*100</f>
        <v>7.8947368421052557</v>
      </c>
    </row>
    <row r="593" spans="1:13" x14ac:dyDescent="0.35">
      <c r="A593" s="1" t="s">
        <v>28</v>
      </c>
      <c r="B593" t="str">
        <f t="shared" si="37"/>
        <v>R2210</v>
      </c>
      <c r="C593" t="str">
        <f t="shared" si="36"/>
        <v>R</v>
      </c>
      <c r="D593" t="s">
        <v>5</v>
      </c>
      <c r="E593">
        <v>10</v>
      </c>
      <c r="F593" s="2" t="s">
        <v>1726</v>
      </c>
      <c r="G593" s="2" t="s">
        <v>1727</v>
      </c>
      <c r="H593" s="2" t="s">
        <v>1728</v>
      </c>
      <c r="I593" s="2" t="str">
        <f t="shared" si="38"/>
        <v>0.658</v>
      </c>
      <c r="J593" s="2" t="str">
        <f t="shared" si="39"/>
        <v>35.692</v>
      </c>
      <c r="K593" s="2" t="str">
        <f t="shared" si="39"/>
        <v>0.3262</v>
      </c>
      <c r="L593" s="3">
        <v>10.46</v>
      </c>
      <c r="M593">
        <f>((11.2-L593)/11.2)*100</f>
        <v>6.6071428571428434</v>
      </c>
    </row>
    <row r="594" spans="1:13" x14ac:dyDescent="0.35">
      <c r="A594" s="1" t="s">
        <v>29</v>
      </c>
      <c r="B594" t="str">
        <f t="shared" si="37"/>
        <v>R2310</v>
      </c>
      <c r="C594" t="str">
        <f t="shared" si="36"/>
        <v>R</v>
      </c>
      <c r="D594" t="s">
        <v>5</v>
      </c>
      <c r="E594">
        <v>10</v>
      </c>
      <c r="F594" s="2" t="s">
        <v>1729</v>
      </c>
      <c r="G594" s="2" t="s">
        <v>1730</v>
      </c>
      <c r="H594" s="2" t="s">
        <v>1731</v>
      </c>
      <c r="I594" s="2" t="str">
        <f t="shared" si="38"/>
        <v>0.691</v>
      </c>
      <c r="J594" s="2" t="str">
        <f t="shared" si="39"/>
        <v>33.534</v>
      </c>
      <c r="K594" s="2" t="str">
        <f t="shared" si="39"/>
        <v>0.3642</v>
      </c>
      <c r="L594" s="3">
        <v>9.67</v>
      </c>
      <c r="M594">
        <f>((10.41-L594)/10.41)*100</f>
        <v>7.1085494716618651</v>
      </c>
    </row>
    <row r="595" spans="1:13" x14ac:dyDescent="0.35">
      <c r="A595" s="1" t="s">
        <v>30</v>
      </c>
      <c r="B595" t="str">
        <f t="shared" si="37"/>
        <v>R2410</v>
      </c>
      <c r="C595" t="str">
        <f t="shared" si="36"/>
        <v>R</v>
      </c>
      <c r="D595" t="s">
        <v>5</v>
      </c>
      <c r="E595">
        <v>10</v>
      </c>
      <c r="F595" s="2" t="s">
        <v>1732</v>
      </c>
      <c r="G595" s="2" t="s">
        <v>1733</v>
      </c>
      <c r="H595" s="2" t="s">
        <v>1734</v>
      </c>
      <c r="I595" s="2" t="str">
        <f t="shared" si="38"/>
        <v>0.772</v>
      </c>
      <c r="J595" s="2" t="str">
        <f t="shared" si="39"/>
        <v>35.558</v>
      </c>
      <c r="K595" s="2" t="str">
        <f t="shared" si="39"/>
        <v>0.3863</v>
      </c>
      <c r="L595" s="3">
        <v>11</v>
      </c>
      <c r="M595">
        <f>((11.96-L595)/11.96)*100</f>
        <v>8.0267558528428165</v>
      </c>
    </row>
    <row r="596" spans="1:13" x14ac:dyDescent="0.35">
      <c r="A596" s="1" t="s">
        <v>31</v>
      </c>
      <c r="B596" t="str">
        <f t="shared" si="37"/>
        <v>R2510</v>
      </c>
      <c r="C596" t="str">
        <f t="shared" si="36"/>
        <v>R</v>
      </c>
      <c r="D596" t="s">
        <v>5</v>
      </c>
      <c r="E596">
        <v>10</v>
      </c>
      <c r="F596" s="2" t="s">
        <v>1735</v>
      </c>
      <c r="G596" s="2" t="s">
        <v>1736</v>
      </c>
      <c r="H596" s="2" t="s">
        <v>1737</v>
      </c>
      <c r="I596" s="2" t="str">
        <f t="shared" si="38"/>
        <v>0.585</v>
      </c>
      <c r="J596" s="2" t="str">
        <f t="shared" si="39"/>
        <v>35.696</v>
      </c>
      <c r="K596" s="2" t="str">
        <f t="shared" si="39"/>
        <v>0.2897</v>
      </c>
      <c r="L596" s="3">
        <v>10.76</v>
      </c>
      <c r="M596">
        <f>((11.77-L596)/11.77)*100</f>
        <v>8.5811384876805423</v>
      </c>
    </row>
    <row r="597" spans="1:13" x14ac:dyDescent="0.35">
      <c r="A597" s="1" t="s">
        <v>32</v>
      </c>
      <c r="B597" t="str">
        <f t="shared" si="37"/>
        <v>R2610</v>
      </c>
      <c r="C597" t="str">
        <f t="shared" si="36"/>
        <v>R</v>
      </c>
      <c r="D597" t="s">
        <v>5</v>
      </c>
      <c r="E597">
        <v>10</v>
      </c>
      <c r="F597" s="2" t="s">
        <v>1738</v>
      </c>
      <c r="G597" s="2" t="s">
        <v>1739</v>
      </c>
      <c r="H597" s="2" t="s">
        <v>1740</v>
      </c>
      <c r="I597" s="2" t="str">
        <f t="shared" si="38"/>
        <v>0.833</v>
      </c>
      <c r="J597" s="2" t="str">
        <f t="shared" si="39"/>
        <v>34.972</v>
      </c>
      <c r="K597" s="2" t="str">
        <f t="shared" si="39"/>
        <v>0.4219</v>
      </c>
      <c r="L597" s="3">
        <v>11.81</v>
      </c>
      <c r="M597">
        <f>((12.72-L597)/12.72)*100</f>
        <v>7.154088050314467</v>
      </c>
    </row>
    <row r="598" spans="1:13" x14ac:dyDescent="0.35">
      <c r="A598" s="1" t="s">
        <v>33</v>
      </c>
      <c r="B598" t="str">
        <f t="shared" si="37"/>
        <v>R2710</v>
      </c>
      <c r="C598" t="str">
        <f t="shared" si="36"/>
        <v>R</v>
      </c>
      <c r="D598" t="s">
        <v>5</v>
      </c>
      <c r="E598">
        <v>10</v>
      </c>
      <c r="F598" s="2" t="s">
        <v>1741</v>
      </c>
      <c r="G598" s="2" t="s">
        <v>1742</v>
      </c>
      <c r="H598" s="2" t="s">
        <v>1743</v>
      </c>
      <c r="I598" s="2" t="str">
        <f t="shared" si="38"/>
        <v>1.001</v>
      </c>
      <c r="J598" s="2" t="str">
        <f t="shared" si="39"/>
        <v>36.300</v>
      </c>
      <c r="K598" s="2" t="str">
        <f t="shared" si="39"/>
        <v>0.4885</v>
      </c>
      <c r="L598" s="3">
        <v>12.03</v>
      </c>
      <c r="M598">
        <f>((13.02-L598)/13.02)*100</f>
        <v>7.603686635944702</v>
      </c>
    </row>
    <row r="599" spans="1:13" x14ac:dyDescent="0.35">
      <c r="A599" s="1" t="s">
        <v>34</v>
      </c>
      <c r="B599" t="str">
        <f t="shared" si="37"/>
        <v>R2810</v>
      </c>
      <c r="C599" t="str">
        <f t="shared" si="36"/>
        <v>R</v>
      </c>
      <c r="D599" t="s">
        <v>5</v>
      </c>
      <c r="E599">
        <v>10</v>
      </c>
      <c r="F599" s="2" t="s">
        <v>1744</v>
      </c>
      <c r="G599" s="2" t="s">
        <v>1745</v>
      </c>
      <c r="H599" s="2" t="s">
        <v>1746</v>
      </c>
      <c r="I599" s="2" t="str">
        <f t="shared" si="38"/>
        <v>1.091</v>
      </c>
      <c r="J599" s="2" t="str">
        <f t="shared" si="39"/>
        <v>34.846</v>
      </c>
      <c r="K599" s="2" t="str">
        <f t="shared" si="39"/>
        <v>0.5550</v>
      </c>
      <c r="L599" s="3">
        <v>9.3699999999999992</v>
      </c>
      <c r="M599">
        <f>((10.13-L599)/10.13)*100</f>
        <v>7.5024679170780013</v>
      </c>
    </row>
    <row r="600" spans="1:13" x14ac:dyDescent="0.35">
      <c r="A600" s="1" t="s">
        <v>35</v>
      </c>
      <c r="B600" t="str">
        <f t="shared" si="37"/>
        <v>R2910</v>
      </c>
      <c r="C600" t="str">
        <f t="shared" si="36"/>
        <v>R</v>
      </c>
      <c r="D600" t="s">
        <v>5</v>
      </c>
      <c r="E600">
        <v>10</v>
      </c>
      <c r="F600" s="2" t="s">
        <v>1747</v>
      </c>
      <c r="G600" s="2" t="s">
        <v>1748</v>
      </c>
      <c r="H600" s="2" t="s">
        <v>1749</v>
      </c>
      <c r="I600" s="2" t="str">
        <f t="shared" si="38"/>
        <v>0.414</v>
      </c>
      <c r="J600" s="2" t="str">
        <f t="shared" si="39"/>
        <v>35.151</v>
      </c>
      <c r="K600" s="2" t="str">
        <f t="shared" si="39"/>
        <v>0.2087</v>
      </c>
      <c r="L600" s="3">
        <v>7.38</v>
      </c>
      <c r="M600">
        <f>((8.49-L600)/8.49)*100</f>
        <v>13.074204946996471</v>
      </c>
    </row>
    <row r="601" spans="1:13" x14ac:dyDescent="0.35">
      <c r="A601" s="1" t="s">
        <v>36</v>
      </c>
      <c r="B601" t="str">
        <f t="shared" si="37"/>
        <v>R3010</v>
      </c>
      <c r="C601" t="str">
        <f t="shared" si="36"/>
        <v>R</v>
      </c>
      <c r="D601" t="s">
        <v>5</v>
      </c>
      <c r="E601">
        <v>10</v>
      </c>
      <c r="F601" s="2" t="s">
        <v>1750</v>
      </c>
      <c r="G601" s="2" t="s">
        <v>1751</v>
      </c>
      <c r="H601" s="2" t="s">
        <v>1752</v>
      </c>
      <c r="I601" s="2" t="str">
        <f t="shared" si="38"/>
        <v>0.495</v>
      </c>
      <c r="J601" s="2" t="str">
        <f t="shared" si="39"/>
        <v>36.018</v>
      </c>
      <c r="K601" s="2" t="str">
        <f t="shared" si="39"/>
        <v>0.2438</v>
      </c>
      <c r="L601" s="3">
        <v>6.8</v>
      </c>
      <c r="M601">
        <f>((7.78-L601)/7.78)*100</f>
        <v>12.59640102827764</v>
      </c>
    </row>
    <row r="602" spans="1:13" x14ac:dyDescent="0.35">
      <c r="A602" s="1" t="s">
        <v>7</v>
      </c>
      <c r="B602" t="str">
        <f t="shared" si="37"/>
        <v>C0111</v>
      </c>
      <c r="C602" t="str">
        <f t="shared" si="36"/>
        <v>C</v>
      </c>
      <c r="D602" t="s">
        <v>4</v>
      </c>
      <c r="E602">
        <v>11</v>
      </c>
      <c r="F602" s="2" t="s">
        <v>1930</v>
      </c>
      <c r="G602" s="2" t="s">
        <v>1931</v>
      </c>
      <c r="H602" s="2" t="s">
        <v>1932</v>
      </c>
      <c r="I602" s="2" t="str">
        <f t="shared" si="38"/>
        <v>0.911</v>
      </c>
      <c r="J602" s="2" t="str">
        <f t="shared" si="39"/>
        <v>36.046</v>
      </c>
      <c r="K602" s="2" t="str">
        <f t="shared" si="39"/>
        <v>0.4523</v>
      </c>
      <c r="L602" s="3">
        <v>10.17</v>
      </c>
      <c r="M602">
        <f>((10.71-L602)/10.71)*100</f>
        <v>5.0420168067226978</v>
      </c>
    </row>
    <row r="603" spans="1:13" x14ac:dyDescent="0.35">
      <c r="A603" s="1" t="s">
        <v>8</v>
      </c>
      <c r="B603" t="str">
        <f t="shared" si="37"/>
        <v>C0211</v>
      </c>
      <c r="C603" t="str">
        <f t="shared" si="36"/>
        <v>C</v>
      </c>
      <c r="D603" t="s">
        <v>4</v>
      </c>
      <c r="E603">
        <v>11</v>
      </c>
      <c r="F603" s="2" t="s">
        <v>1933</v>
      </c>
      <c r="G603" s="2" t="s">
        <v>1934</v>
      </c>
      <c r="H603" s="2" t="s">
        <v>1935</v>
      </c>
      <c r="I603" s="2" t="str">
        <f t="shared" si="38"/>
        <v>0.942</v>
      </c>
      <c r="J603" s="2" t="str">
        <f t="shared" si="39"/>
        <v>34.623</v>
      </c>
      <c r="K603" s="2" t="str">
        <f t="shared" si="39"/>
        <v>0.4823</v>
      </c>
      <c r="L603" s="3">
        <v>10.59</v>
      </c>
      <c r="M603">
        <f>((11.03-L603)/11.03)*100</f>
        <v>3.9891205802357166</v>
      </c>
    </row>
    <row r="604" spans="1:13" x14ac:dyDescent="0.35">
      <c r="A604" s="1" t="s">
        <v>21</v>
      </c>
      <c r="B604" t="str">
        <f t="shared" si="37"/>
        <v>C0311</v>
      </c>
      <c r="C604" t="str">
        <f t="shared" si="36"/>
        <v>C</v>
      </c>
      <c r="D604" t="s">
        <v>4</v>
      </c>
      <c r="E604">
        <v>11</v>
      </c>
      <c r="F604" s="2" t="s">
        <v>1936</v>
      </c>
      <c r="G604" s="2" t="s">
        <v>1937</v>
      </c>
      <c r="H604" s="2" t="s">
        <v>1938</v>
      </c>
      <c r="I604" s="2" t="str">
        <f t="shared" si="38"/>
        <v>0.482</v>
      </c>
      <c r="J604" s="2" t="str">
        <f t="shared" si="39"/>
        <v>35.092</v>
      </c>
      <c r="K604" s="2" t="str">
        <f t="shared" si="39"/>
        <v>0.2431</v>
      </c>
      <c r="L604" s="3">
        <v>8.57</v>
      </c>
      <c r="M604">
        <f>((8.99-L604)/8.99)*100</f>
        <v>4.6718576195773069</v>
      </c>
    </row>
    <row r="605" spans="1:13" x14ac:dyDescent="0.35">
      <c r="A605" s="1" t="s">
        <v>9</v>
      </c>
      <c r="B605" t="str">
        <f t="shared" si="37"/>
        <v>C0411</v>
      </c>
      <c r="C605" t="str">
        <f t="shared" si="36"/>
        <v>C</v>
      </c>
      <c r="D605" t="s">
        <v>4</v>
      </c>
      <c r="E605">
        <v>11</v>
      </c>
      <c r="F605" s="2" t="s">
        <v>1939</v>
      </c>
      <c r="G605" s="2" t="s">
        <v>1940</v>
      </c>
      <c r="H605" s="2" t="s">
        <v>1941</v>
      </c>
      <c r="I605" s="2" t="str">
        <f t="shared" si="38"/>
        <v>0.828</v>
      </c>
      <c r="J605" s="2" t="str">
        <f t="shared" si="39"/>
        <v>37.844</v>
      </c>
      <c r="K605" s="2" t="str">
        <f t="shared" si="39"/>
        <v>0.3876</v>
      </c>
      <c r="L605" s="3">
        <v>12.44</v>
      </c>
      <c r="M605">
        <f>((12.82-L605)/12.82)*100</f>
        <v>2.9641185647425958</v>
      </c>
    </row>
    <row r="606" spans="1:13" x14ac:dyDescent="0.35">
      <c r="A606" s="1" t="s">
        <v>10</v>
      </c>
      <c r="B606" t="str">
        <f t="shared" si="37"/>
        <v>C0511</v>
      </c>
      <c r="C606" t="str">
        <f t="shared" si="36"/>
        <v>C</v>
      </c>
      <c r="D606" t="s">
        <v>4</v>
      </c>
      <c r="E606">
        <v>11</v>
      </c>
      <c r="F606" s="2" t="s">
        <v>1942</v>
      </c>
      <c r="G606" s="2" t="s">
        <v>1943</v>
      </c>
      <c r="H606" s="2" t="s">
        <v>1944</v>
      </c>
      <c r="I606" s="2" t="str">
        <f t="shared" si="38"/>
        <v>0.481</v>
      </c>
      <c r="J606" s="2" t="str">
        <f t="shared" si="39"/>
        <v>36.129</v>
      </c>
      <c r="K606" s="2" t="str">
        <f t="shared" si="39"/>
        <v>0.2358</v>
      </c>
      <c r="L606" s="3">
        <v>10.87</v>
      </c>
      <c r="M606">
        <f>((11.24-L606)/11.24)*100</f>
        <v>3.2918149466192261</v>
      </c>
    </row>
    <row r="607" spans="1:13" x14ac:dyDescent="0.35">
      <c r="A607" s="1" t="s">
        <v>11</v>
      </c>
      <c r="B607" t="str">
        <f t="shared" si="37"/>
        <v>C0611</v>
      </c>
      <c r="C607" t="str">
        <f t="shared" si="36"/>
        <v>C</v>
      </c>
      <c r="D607" t="s">
        <v>4</v>
      </c>
      <c r="E607">
        <v>11</v>
      </c>
      <c r="F607" s="2" t="s">
        <v>1945</v>
      </c>
      <c r="G607" s="2" t="s">
        <v>1946</v>
      </c>
      <c r="H607" s="2" t="s">
        <v>1947</v>
      </c>
      <c r="I607" s="2" t="str">
        <f t="shared" si="38"/>
        <v>0.515</v>
      </c>
      <c r="J607" s="2" t="str">
        <f t="shared" si="39"/>
        <v>34.344</v>
      </c>
      <c r="K607" s="2" t="str">
        <f t="shared" si="39"/>
        <v>0.2661</v>
      </c>
      <c r="L607" s="3">
        <v>9.0299999999999994</v>
      </c>
      <c r="M607">
        <f>((9.49-L607)/9.49)*100</f>
        <v>4.8472075869336235</v>
      </c>
    </row>
    <row r="608" spans="1:13" x14ac:dyDescent="0.35">
      <c r="A608" s="1" t="s">
        <v>12</v>
      </c>
      <c r="B608" t="str">
        <f t="shared" si="37"/>
        <v>C0711</v>
      </c>
      <c r="C608" t="str">
        <f t="shared" si="36"/>
        <v>C</v>
      </c>
      <c r="D608" t="s">
        <v>4</v>
      </c>
      <c r="E608">
        <v>11</v>
      </c>
      <c r="F608" s="2" t="s">
        <v>1948</v>
      </c>
      <c r="G608" s="2" t="s">
        <v>1949</v>
      </c>
      <c r="H608" s="2" t="s">
        <v>1950</v>
      </c>
      <c r="I608" s="2" t="str">
        <f t="shared" si="38"/>
        <v>1.015</v>
      </c>
      <c r="J608" s="2" t="str">
        <f t="shared" si="39"/>
        <v>37.324</v>
      </c>
      <c r="K608" s="2" t="str">
        <f t="shared" si="39"/>
        <v>0.4797</v>
      </c>
      <c r="L608" s="3">
        <v>11.97</v>
      </c>
      <c r="M608">
        <f>((12.19-L608)/12.19)*100</f>
        <v>1.8047579983593016</v>
      </c>
    </row>
    <row r="609" spans="1:13" x14ac:dyDescent="0.35">
      <c r="A609" s="1" t="s">
        <v>13</v>
      </c>
      <c r="B609" t="str">
        <f t="shared" si="37"/>
        <v>C0811</v>
      </c>
      <c r="C609" t="str">
        <f t="shared" si="36"/>
        <v>C</v>
      </c>
      <c r="D609" t="s">
        <v>4</v>
      </c>
      <c r="E609">
        <v>11</v>
      </c>
      <c r="F609" s="2" t="s">
        <v>1951</v>
      </c>
      <c r="G609" s="2" t="s">
        <v>1952</v>
      </c>
      <c r="H609" s="2" t="s">
        <v>1953</v>
      </c>
      <c r="I609" s="2" t="str">
        <f t="shared" si="38"/>
        <v>0.573</v>
      </c>
      <c r="J609" s="2" t="str">
        <f t="shared" si="39"/>
        <v>34.735</v>
      </c>
      <c r="K609" s="2" t="str">
        <f t="shared" si="39"/>
        <v>0.2924</v>
      </c>
      <c r="L609" s="3">
        <v>8.7100000000000009</v>
      </c>
      <c r="M609">
        <f>((9.02-L609)/9.02)*100</f>
        <v>3.4368070953436662</v>
      </c>
    </row>
    <row r="610" spans="1:13" x14ac:dyDescent="0.35">
      <c r="A610" s="1" t="s">
        <v>14</v>
      </c>
      <c r="B610" t="str">
        <f t="shared" si="37"/>
        <v>C0911</v>
      </c>
      <c r="C610" t="str">
        <f t="shared" si="36"/>
        <v>C</v>
      </c>
      <c r="D610" t="s">
        <v>4</v>
      </c>
      <c r="E610">
        <v>11</v>
      </c>
      <c r="F610" s="2" t="s">
        <v>1954</v>
      </c>
      <c r="G610" s="2" t="s">
        <v>1955</v>
      </c>
      <c r="H610" s="2" t="s">
        <v>1956</v>
      </c>
      <c r="I610" s="2" t="str">
        <f t="shared" si="38"/>
        <v>0.499</v>
      </c>
      <c r="J610" s="2" t="str">
        <f t="shared" si="39"/>
        <v>32.139</v>
      </c>
      <c r="K610" s="2" t="str">
        <f t="shared" si="39"/>
        <v>0.2766</v>
      </c>
      <c r="L610" s="3">
        <v>8.4</v>
      </c>
      <c r="M610">
        <f>((8.66-L610)/8.66)*100</f>
        <v>3.0023094688221685</v>
      </c>
    </row>
    <row r="611" spans="1:13" x14ac:dyDescent="0.35">
      <c r="A611" s="1" t="s">
        <v>15</v>
      </c>
      <c r="B611" t="str">
        <f t="shared" si="37"/>
        <v>C1011</v>
      </c>
      <c r="C611" t="str">
        <f t="shared" si="36"/>
        <v>C</v>
      </c>
      <c r="D611" t="s">
        <v>4</v>
      </c>
      <c r="E611">
        <v>11</v>
      </c>
      <c r="F611" s="2" t="s">
        <v>1957</v>
      </c>
      <c r="G611" s="2" t="s">
        <v>1958</v>
      </c>
      <c r="H611" s="2" t="s">
        <v>1959</v>
      </c>
      <c r="I611" s="2" t="str">
        <f t="shared" si="38"/>
        <v>0.864</v>
      </c>
      <c r="J611" s="2" t="str">
        <f t="shared" si="39"/>
        <v>34.628</v>
      </c>
      <c r="K611" s="2" t="str">
        <f t="shared" si="39"/>
        <v>0.4459</v>
      </c>
      <c r="L611" s="3">
        <v>12.35</v>
      </c>
      <c r="M611">
        <f>((12.87-L611)/12.87)*100</f>
        <v>4.0404040404040371</v>
      </c>
    </row>
    <row r="612" spans="1:13" x14ac:dyDescent="0.35">
      <c r="A612" s="1" t="s">
        <v>16</v>
      </c>
      <c r="B612" t="str">
        <f t="shared" si="37"/>
        <v>C1111</v>
      </c>
      <c r="C612" t="str">
        <f t="shared" si="36"/>
        <v>C</v>
      </c>
      <c r="D612" t="s">
        <v>4</v>
      </c>
      <c r="E612">
        <v>11</v>
      </c>
      <c r="F612" s="2" t="s">
        <v>1960</v>
      </c>
      <c r="G612" s="2" t="s">
        <v>1961</v>
      </c>
      <c r="H612" s="2" t="s">
        <v>1962</v>
      </c>
      <c r="I612" s="2" t="str">
        <f t="shared" si="38"/>
        <v>1.131</v>
      </c>
      <c r="J612" s="2" t="str">
        <f t="shared" si="39"/>
        <v>31.182</v>
      </c>
      <c r="K612" s="2" t="str">
        <f t="shared" si="39"/>
        <v>0.6439</v>
      </c>
      <c r="L612" s="3">
        <v>7.78</v>
      </c>
      <c r="M612">
        <f>((8.02-L612)/8.02)*100</f>
        <v>2.992518703241887</v>
      </c>
    </row>
    <row r="613" spans="1:13" x14ac:dyDescent="0.35">
      <c r="A613" s="1" t="s">
        <v>17</v>
      </c>
      <c r="B613" t="str">
        <f t="shared" si="37"/>
        <v>C1211</v>
      </c>
      <c r="C613" t="str">
        <f t="shared" si="36"/>
        <v>C</v>
      </c>
      <c r="D613" t="s">
        <v>4</v>
      </c>
      <c r="E613">
        <v>11</v>
      </c>
      <c r="F613" s="2" t="s">
        <v>1963</v>
      </c>
      <c r="G613" s="2" t="s">
        <v>1964</v>
      </c>
      <c r="H613" s="2" t="s">
        <v>1965</v>
      </c>
      <c r="I613" s="2" t="str">
        <f t="shared" si="38"/>
        <v>1.011</v>
      </c>
      <c r="J613" s="2" t="str">
        <f t="shared" si="39"/>
        <v>36.002</v>
      </c>
      <c r="K613" s="2" t="str">
        <f t="shared" si="39"/>
        <v>0.4960</v>
      </c>
      <c r="L613" s="3">
        <v>8.74</v>
      </c>
      <c r="M613">
        <f>((9.02-L613)/9.02)*100</f>
        <v>3.104212860310414</v>
      </c>
    </row>
    <row r="614" spans="1:13" x14ac:dyDescent="0.35">
      <c r="A614" s="1" t="s">
        <v>18</v>
      </c>
      <c r="B614" t="str">
        <f t="shared" si="37"/>
        <v>C1311</v>
      </c>
      <c r="C614" t="str">
        <f t="shared" si="36"/>
        <v>C</v>
      </c>
      <c r="D614" t="s">
        <v>4</v>
      </c>
      <c r="E614">
        <v>11</v>
      </c>
      <c r="F614" s="2" t="s">
        <v>1966</v>
      </c>
      <c r="G614" s="2" t="s">
        <v>1967</v>
      </c>
      <c r="H614" s="2" t="s">
        <v>1968</v>
      </c>
      <c r="I614" s="2" t="str">
        <f t="shared" si="38"/>
        <v>1.127</v>
      </c>
      <c r="J614" s="2" t="str">
        <f t="shared" si="39"/>
        <v>32.005</v>
      </c>
      <c r="K614" s="2" t="str">
        <f t="shared" si="39"/>
        <v>0.6233</v>
      </c>
      <c r="L614" s="3">
        <v>10.199999999999999</v>
      </c>
      <c r="M614">
        <f>((10.68-L614)/10.68)*100</f>
        <v>4.494382022471914</v>
      </c>
    </row>
    <row r="615" spans="1:13" x14ac:dyDescent="0.35">
      <c r="A615" s="1" t="s">
        <v>19</v>
      </c>
      <c r="B615" t="str">
        <f t="shared" si="37"/>
        <v>C1411</v>
      </c>
      <c r="C615" t="str">
        <f t="shared" si="36"/>
        <v>C</v>
      </c>
      <c r="D615" t="s">
        <v>4</v>
      </c>
      <c r="E615">
        <v>11</v>
      </c>
      <c r="F615" s="2" t="s">
        <v>1968</v>
      </c>
      <c r="G615" s="2" t="s">
        <v>1969</v>
      </c>
      <c r="H615" s="2" t="s">
        <v>1970</v>
      </c>
      <c r="I615" s="2" t="str">
        <f t="shared" si="38"/>
        <v>0.623</v>
      </c>
      <c r="J615" s="2" t="str">
        <f t="shared" si="39"/>
        <v>34.586</v>
      </c>
      <c r="K615" s="2" t="str">
        <f t="shared" si="39"/>
        <v>0.2597</v>
      </c>
      <c r="L615" s="3">
        <v>9</v>
      </c>
      <c r="M615">
        <f>((9.31-L615)/9.31)*100</f>
        <v>3.3297529538131094</v>
      </c>
    </row>
    <row r="616" spans="1:13" x14ac:dyDescent="0.35">
      <c r="A616" s="1" t="s">
        <v>20</v>
      </c>
      <c r="B616" t="str">
        <f t="shared" si="37"/>
        <v>C1511</v>
      </c>
      <c r="C616" t="str">
        <f t="shared" si="36"/>
        <v>C</v>
      </c>
      <c r="D616" t="s">
        <v>4</v>
      </c>
      <c r="E616">
        <v>11</v>
      </c>
      <c r="F616" s="2" t="s">
        <v>1971</v>
      </c>
      <c r="G616" s="2" t="s">
        <v>1972</v>
      </c>
      <c r="H616" s="2" t="s">
        <v>1973</v>
      </c>
      <c r="I616" s="2" t="str">
        <f t="shared" si="38"/>
        <v>0.634</v>
      </c>
      <c r="J616" s="2" t="str">
        <f t="shared" si="39"/>
        <v>35.754</v>
      </c>
      <c r="K616" s="2" t="str">
        <f t="shared" si="39"/>
        <v>0.3140</v>
      </c>
      <c r="L616" s="3">
        <v>12.63</v>
      </c>
      <c r="M616">
        <f>((12.96-L616)/12.96)*100</f>
        <v>2.5462962962962967</v>
      </c>
    </row>
    <row r="617" spans="1:13" x14ac:dyDescent="0.35">
      <c r="A617" s="1" t="s">
        <v>22</v>
      </c>
      <c r="B617" t="str">
        <f t="shared" si="37"/>
        <v>C1611</v>
      </c>
      <c r="C617" t="str">
        <f t="shared" si="36"/>
        <v>C</v>
      </c>
      <c r="D617" t="s">
        <v>4</v>
      </c>
      <c r="E617">
        <v>11</v>
      </c>
      <c r="F617" s="2" t="s">
        <v>1974</v>
      </c>
      <c r="G617" s="2" t="s">
        <v>1975</v>
      </c>
      <c r="H617" s="2" t="s">
        <v>1976</v>
      </c>
      <c r="I617" s="2" t="str">
        <f t="shared" si="38"/>
        <v>1.175</v>
      </c>
      <c r="J617" s="2" t="str">
        <f t="shared" si="39"/>
        <v>37.031</v>
      </c>
      <c r="K617" s="2" t="str">
        <f t="shared" si="39"/>
        <v>0.5619</v>
      </c>
      <c r="L617" s="3">
        <v>12.59</v>
      </c>
      <c r="M617">
        <f>((13.01-L617)/13.01)*100</f>
        <v>3.2282859338970016</v>
      </c>
    </row>
    <row r="618" spans="1:13" x14ac:dyDescent="0.35">
      <c r="A618" s="1" t="s">
        <v>23</v>
      </c>
      <c r="B618" t="str">
        <f t="shared" si="37"/>
        <v>C1711</v>
      </c>
      <c r="C618" t="str">
        <f t="shared" si="36"/>
        <v>C</v>
      </c>
      <c r="D618" t="s">
        <v>4</v>
      </c>
      <c r="E618">
        <v>11</v>
      </c>
      <c r="F618" s="2" t="s">
        <v>1977</v>
      </c>
      <c r="G618" s="2" t="s">
        <v>1978</v>
      </c>
      <c r="H618" s="2" t="s">
        <v>1979</v>
      </c>
      <c r="I618" s="2" t="str">
        <f t="shared" si="38"/>
        <v>0.487</v>
      </c>
      <c r="J618" s="2" t="str">
        <f t="shared" si="39"/>
        <v>35.260</v>
      </c>
      <c r="K618" s="2" t="str">
        <f t="shared" si="39"/>
        <v>0.2452</v>
      </c>
      <c r="L618" s="3">
        <v>7.98</v>
      </c>
      <c r="M618">
        <f>((8.28-L618)/8.28)*100</f>
        <v>3.6231884057970891</v>
      </c>
    </row>
    <row r="619" spans="1:13" x14ac:dyDescent="0.35">
      <c r="A619" s="1" t="s">
        <v>24</v>
      </c>
      <c r="B619" t="str">
        <f t="shared" si="37"/>
        <v>C1811</v>
      </c>
      <c r="C619" t="str">
        <f t="shared" si="36"/>
        <v>C</v>
      </c>
      <c r="D619" t="s">
        <v>4</v>
      </c>
      <c r="E619">
        <v>11</v>
      </c>
      <c r="F619" s="2" t="s">
        <v>1980</v>
      </c>
      <c r="G619" s="2" t="s">
        <v>1981</v>
      </c>
      <c r="H619" s="2" t="s">
        <v>1982</v>
      </c>
      <c r="I619" s="2" t="str">
        <f t="shared" si="38"/>
        <v>0.908</v>
      </c>
      <c r="J619" s="2" t="str">
        <f t="shared" si="39"/>
        <v>34.785</v>
      </c>
      <c r="K619" s="2" t="str">
        <f t="shared" si="39"/>
        <v>0.4619</v>
      </c>
      <c r="L619" s="3">
        <v>8.25</v>
      </c>
      <c r="M619">
        <f>((8.57-L619)/8.57)*100</f>
        <v>3.7339556592765493</v>
      </c>
    </row>
    <row r="620" spans="1:13" x14ac:dyDescent="0.35">
      <c r="A620" s="1" t="s">
        <v>25</v>
      </c>
      <c r="B620" t="str">
        <f t="shared" si="37"/>
        <v>C1911</v>
      </c>
      <c r="C620" t="str">
        <f t="shared" si="36"/>
        <v>C</v>
      </c>
      <c r="D620" t="s">
        <v>4</v>
      </c>
      <c r="E620">
        <v>11</v>
      </c>
      <c r="F620" s="2" t="s">
        <v>1983</v>
      </c>
      <c r="G620" s="2" t="s">
        <v>1984</v>
      </c>
      <c r="H620" s="2" t="s">
        <v>1985</v>
      </c>
      <c r="I620" s="2" t="str">
        <f t="shared" si="38"/>
        <v>0.439</v>
      </c>
      <c r="J620" s="2" t="str">
        <f t="shared" si="39"/>
        <v>35.223</v>
      </c>
      <c r="K620" s="2" t="str">
        <f t="shared" si="39"/>
        <v>0.2222</v>
      </c>
      <c r="L620" s="3">
        <v>8.5500000000000007</v>
      </c>
      <c r="M620">
        <f>((8.79-L620)/8.79)*100</f>
        <v>2.7303754266211429</v>
      </c>
    </row>
    <row r="621" spans="1:13" x14ac:dyDescent="0.35">
      <c r="A621" s="1" t="s">
        <v>26</v>
      </c>
      <c r="B621" t="str">
        <f t="shared" si="37"/>
        <v>C2011</v>
      </c>
      <c r="C621" t="str">
        <f t="shared" si="36"/>
        <v>C</v>
      </c>
      <c r="D621" t="s">
        <v>4</v>
      </c>
      <c r="E621">
        <v>11</v>
      </c>
      <c r="F621" s="2" t="s">
        <v>1986</v>
      </c>
      <c r="G621" s="2" t="s">
        <v>1987</v>
      </c>
      <c r="H621" s="2" t="s">
        <v>1988</v>
      </c>
      <c r="I621" s="2" t="str">
        <f t="shared" si="38"/>
        <v>1.108</v>
      </c>
      <c r="J621" s="2" t="str">
        <f t="shared" si="39"/>
        <v>34.728</v>
      </c>
      <c r="K621" s="2" t="str">
        <f t="shared" si="39"/>
        <v>0.5652</v>
      </c>
      <c r="L621" s="3">
        <v>8.3000000000000007</v>
      </c>
      <c r="M621">
        <f>((8.56-L621)/8.56)*100</f>
        <v>3.0373831775700908</v>
      </c>
    </row>
    <row r="622" spans="1:13" x14ac:dyDescent="0.35">
      <c r="A622" s="1" t="s">
        <v>27</v>
      </c>
      <c r="B622" t="str">
        <f t="shared" si="37"/>
        <v>C2111</v>
      </c>
      <c r="C622" t="str">
        <f t="shared" si="36"/>
        <v>C</v>
      </c>
      <c r="D622" t="s">
        <v>4</v>
      </c>
      <c r="E622">
        <v>11</v>
      </c>
      <c r="F622" s="2" t="s">
        <v>1989</v>
      </c>
      <c r="G622" s="2" t="s">
        <v>1990</v>
      </c>
      <c r="H622" s="2" t="s">
        <v>1991</v>
      </c>
      <c r="I622" s="2" t="str">
        <f t="shared" si="38"/>
        <v>0.787</v>
      </c>
      <c r="J622" s="2" t="str">
        <f t="shared" si="39"/>
        <v>36.620</v>
      </c>
      <c r="K622" s="2" t="str">
        <f t="shared" si="39"/>
        <v>0.3767</v>
      </c>
      <c r="L622" s="3">
        <v>11.34</v>
      </c>
      <c r="M622">
        <f>((11.72-L622)/11.72)*100</f>
        <v>3.2423208191126345</v>
      </c>
    </row>
    <row r="623" spans="1:13" x14ac:dyDescent="0.35">
      <c r="A623" s="1" t="s">
        <v>28</v>
      </c>
      <c r="B623" t="str">
        <f t="shared" si="37"/>
        <v>C2211</v>
      </c>
      <c r="C623" t="str">
        <f t="shared" si="36"/>
        <v>C</v>
      </c>
      <c r="D623" t="s">
        <v>4</v>
      </c>
      <c r="E623">
        <v>11</v>
      </c>
      <c r="F623" s="2" t="s">
        <v>1992</v>
      </c>
      <c r="G623" s="2" t="s">
        <v>1993</v>
      </c>
      <c r="H623" s="2" t="s">
        <v>1994</v>
      </c>
      <c r="I623" s="2" t="str">
        <f t="shared" si="38"/>
        <v>0.430</v>
      </c>
      <c r="J623" s="2" t="str">
        <f t="shared" si="39"/>
        <v>36.056</v>
      </c>
      <c r="K623" s="2" t="str">
        <f t="shared" si="39"/>
        <v>0.2112</v>
      </c>
      <c r="L623" s="3">
        <v>9.7799999999999994</v>
      </c>
      <c r="M623">
        <f>((10.19-L623)/10.19)*100</f>
        <v>4.0235525024533878</v>
      </c>
    </row>
    <row r="624" spans="1:13" x14ac:dyDescent="0.35">
      <c r="A624" s="1" t="s">
        <v>29</v>
      </c>
      <c r="B624" t="str">
        <f t="shared" si="37"/>
        <v>C2311</v>
      </c>
      <c r="C624" t="str">
        <f t="shared" si="36"/>
        <v>C</v>
      </c>
      <c r="D624" t="s">
        <v>4</v>
      </c>
      <c r="E624">
        <v>11</v>
      </c>
      <c r="F624" s="2" t="s">
        <v>1995</v>
      </c>
      <c r="G624" s="2" t="s">
        <v>1996</v>
      </c>
      <c r="H624" s="2" t="s">
        <v>1997</v>
      </c>
      <c r="I624" s="2" t="str">
        <f t="shared" si="38"/>
        <v>0.951</v>
      </c>
      <c r="J624" s="2" t="str">
        <f t="shared" si="39"/>
        <v>38.568</v>
      </c>
      <c r="K624" s="2" t="str">
        <f t="shared" si="39"/>
        <v>0.4383</v>
      </c>
      <c r="L624" s="3">
        <v>6.35</v>
      </c>
      <c r="M624">
        <f>((6.69-L624)/6.69)*100</f>
        <v>5.08221225710016</v>
      </c>
    </row>
    <row r="625" spans="1:13" x14ac:dyDescent="0.35">
      <c r="A625" s="1" t="s">
        <v>30</v>
      </c>
      <c r="B625" t="str">
        <f t="shared" si="37"/>
        <v>C2411</v>
      </c>
      <c r="C625" t="str">
        <f t="shared" si="36"/>
        <v>C</v>
      </c>
      <c r="D625" t="s">
        <v>4</v>
      </c>
      <c r="E625">
        <v>11</v>
      </c>
      <c r="F625" s="2" t="s">
        <v>1998</v>
      </c>
      <c r="G625" s="2" t="s">
        <v>1999</v>
      </c>
      <c r="H625" s="2" t="s">
        <v>2000</v>
      </c>
      <c r="I625" s="2" t="str">
        <f t="shared" si="38"/>
        <v>0.455</v>
      </c>
      <c r="J625" s="2" t="str">
        <f t="shared" si="39"/>
        <v>38.992</v>
      </c>
      <c r="K625" s="2" t="str">
        <f t="shared" si="39"/>
        <v>0.2069</v>
      </c>
      <c r="L625" s="3">
        <v>6.48</v>
      </c>
      <c r="M625">
        <f>((6.98-L625)/6.98)*100</f>
        <v>7.1633237822349569</v>
      </c>
    </row>
    <row r="626" spans="1:13" x14ac:dyDescent="0.35">
      <c r="A626" s="1" t="s">
        <v>31</v>
      </c>
      <c r="B626" t="str">
        <f t="shared" si="37"/>
        <v>C2511</v>
      </c>
      <c r="C626" t="str">
        <f t="shared" si="36"/>
        <v>C</v>
      </c>
      <c r="D626" t="s">
        <v>4</v>
      </c>
      <c r="E626">
        <v>11</v>
      </c>
      <c r="F626" s="2" t="s">
        <v>2001</v>
      </c>
      <c r="G626" s="2" t="s">
        <v>2002</v>
      </c>
      <c r="H626" s="2" t="s">
        <v>2003</v>
      </c>
      <c r="I626" s="2" t="str">
        <f t="shared" si="38"/>
        <v>0.840</v>
      </c>
      <c r="J626" s="2" t="str">
        <f t="shared" si="39"/>
        <v>38.180</v>
      </c>
      <c r="K626" s="2" t="str">
        <f t="shared" si="39"/>
        <v>0.3893</v>
      </c>
      <c r="L626" s="3">
        <v>11.4</v>
      </c>
      <c r="M626">
        <f>((11.74-L626)/11.74)*100</f>
        <v>2.896081771720612</v>
      </c>
    </row>
    <row r="627" spans="1:13" x14ac:dyDescent="0.35">
      <c r="A627" s="1" t="s">
        <v>32</v>
      </c>
      <c r="B627" t="str">
        <f t="shared" si="37"/>
        <v>C2611</v>
      </c>
      <c r="C627" t="str">
        <f t="shared" si="36"/>
        <v>C</v>
      </c>
      <c r="D627" t="s">
        <v>4</v>
      </c>
      <c r="E627">
        <v>11</v>
      </c>
      <c r="F627" s="2" t="s">
        <v>2004</v>
      </c>
      <c r="G627" s="2" t="s">
        <v>2005</v>
      </c>
      <c r="H627" s="2" t="s">
        <v>2006</v>
      </c>
      <c r="I627" s="2" t="str">
        <f t="shared" si="38"/>
        <v>0.476</v>
      </c>
      <c r="J627" s="2" t="str">
        <f t="shared" si="39"/>
        <v>35.783</v>
      </c>
      <c r="K627" s="2" t="str">
        <f t="shared" si="39"/>
        <v>0.2354</v>
      </c>
      <c r="L627" s="3">
        <v>6.51</v>
      </c>
      <c r="M627">
        <f>((6.81-L627)/6.81)*100</f>
        <v>4.4052863436123326</v>
      </c>
    </row>
    <row r="628" spans="1:13" x14ac:dyDescent="0.35">
      <c r="A628" s="1" t="s">
        <v>33</v>
      </c>
      <c r="B628" t="str">
        <f t="shared" si="37"/>
        <v>C2711</v>
      </c>
      <c r="C628" t="str">
        <f t="shared" si="36"/>
        <v>C</v>
      </c>
      <c r="D628" t="s">
        <v>4</v>
      </c>
      <c r="E628">
        <v>11</v>
      </c>
      <c r="F628" s="2" t="s">
        <v>2007</v>
      </c>
      <c r="G628" s="2" t="s">
        <v>2008</v>
      </c>
      <c r="H628" s="2" t="s">
        <v>2009</v>
      </c>
      <c r="I628" s="2" t="str">
        <f t="shared" si="38"/>
        <v>0.616</v>
      </c>
      <c r="J628" s="2" t="str">
        <f t="shared" si="39"/>
        <v>35.665</v>
      </c>
      <c r="K628" s="2" t="str">
        <f t="shared" si="39"/>
        <v>0.3056</v>
      </c>
      <c r="L628" s="3">
        <v>12.85</v>
      </c>
      <c r="M628">
        <f>((13.23-L628)/13.23)*100</f>
        <v>2.8722600151171638</v>
      </c>
    </row>
    <row r="629" spans="1:13" x14ac:dyDescent="0.35">
      <c r="A629" s="1" t="s">
        <v>34</v>
      </c>
      <c r="B629" t="str">
        <f t="shared" si="37"/>
        <v>C2811</v>
      </c>
      <c r="C629" t="str">
        <f t="shared" si="36"/>
        <v>C</v>
      </c>
      <c r="D629" t="s">
        <v>4</v>
      </c>
      <c r="E629">
        <v>11</v>
      </c>
      <c r="F629" s="2" t="s">
        <v>2010</v>
      </c>
      <c r="G629" s="2" t="s">
        <v>2011</v>
      </c>
      <c r="H629" s="2" t="s">
        <v>2012</v>
      </c>
      <c r="I629" s="2" t="str">
        <f t="shared" si="38"/>
        <v>0.527</v>
      </c>
      <c r="J629" s="2" t="str">
        <f t="shared" si="39"/>
        <v>36.738</v>
      </c>
      <c r="K629" s="2" t="str">
        <f t="shared" si="39"/>
        <v>0.2543</v>
      </c>
      <c r="L629" s="3">
        <v>10.26</v>
      </c>
      <c r="M629">
        <f>((10.74-L629)/10.74)*100</f>
        <v>4.4692737430167631</v>
      </c>
    </row>
    <row r="630" spans="1:13" x14ac:dyDescent="0.35">
      <c r="A630" s="1" t="s">
        <v>35</v>
      </c>
      <c r="B630" t="str">
        <f t="shared" si="37"/>
        <v>C2911</v>
      </c>
      <c r="C630" t="str">
        <f t="shared" si="36"/>
        <v>C</v>
      </c>
      <c r="D630" t="s">
        <v>4</v>
      </c>
      <c r="E630">
        <v>11</v>
      </c>
      <c r="F630" s="2" t="s">
        <v>2013</v>
      </c>
      <c r="G630" s="2" t="s">
        <v>2014</v>
      </c>
      <c r="H630" s="2" t="s">
        <v>2015</v>
      </c>
      <c r="I630" s="2" t="str">
        <f t="shared" si="38"/>
        <v>1.095</v>
      </c>
      <c r="J630" s="2" t="str">
        <f t="shared" si="39"/>
        <v>34.985</v>
      </c>
      <c r="K630" s="2" t="str">
        <f t="shared" si="39"/>
        <v>0.5521</v>
      </c>
      <c r="L630" s="3">
        <v>11.28</v>
      </c>
      <c r="M630">
        <f>((11.59-L630)/11.59)*100</f>
        <v>2.6747195858498749</v>
      </c>
    </row>
    <row r="631" spans="1:13" x14ac:dyDescent="0.35">
      <c r="A631" s="1" t="s">
        <v>36</v>
      </c>
      <c r="B631" t="str">
        <f t="shared" si="37"/>
        <v>C3011</v>
      </c>
      <c r="C631" t="str">
        <f t="shared" si="36"/>
        <v>C</v>
      </c>
      <c r="D631" t="s">
        <v>4</v>
      </c>
      <c r="E631">
        <v>11</v>
      </c>
      <c r="F631" s="2" t="s">
        <v>2016</v>
      </c>
      <c r="G631" s="2" t="s">
        <v>2017</v>
      </c>
      <c r="H631" s="2" t="s">
        <v>2018</v>
      </c>
      <c r="I631" s="2" t="str">
        <f t="shared" si="38"/>
        <v>1.088</v>
      </c>
      <c r="J631" s="2" t="str">
        <f t="shared" si="39"/>
        <v>38.542</v>
      </c>
      <c r="K631" s="2" t="str">
        <f t="shared" si="39"/>
        <v>0.4998</v>
      </c>
      <c r="L631" s="3">
        <v>9</v>
      </c>
      <c r="M631">
        <f>((9.38-L631)/9.38)*100</f>
        <v>4.0511727078891333</v>
      </c>
    </row>
    <row r="632" spans="1:13" x14ac:dyDescent="0.35">
      <c r="A632" s="1" t="s">
        <v>7</v>
      </c>
      <c r="B632" t="str">
        <f t="shared" si="37"/>
        <v>R0111</v>
      </c>
      <c r="C632" t="str">
        <f t="shared" si="36"/>
        <v>R</v>
      </c>
      <c r="D632" t="s">
        <v>5</v>
      </c>
      <c r="E632">
        <v>11</v>
      </c>
      <c r="F632" s="2" t="s">
        <v>457</v>
      </c>
      <c r="G632" s="2" t="s">
        <v>458</v>
      </c>
      <c r="H632" s="2" t="s">
        <v>459</v>
      </c>
      <c r="I632" s="2" t="str">
        <f t="shared" si="38"/>
        <v>0.618</v>
      </c>
      <c r="J632" s="2" t="str">
        <f t="shared" si="39"/>
        <v>35.124</v>
      </c>
      <c r="K632" s="2" t="str">
        <f t="shared" si="39"/>
        <v>0.3114</v>
      </c>
      <c r="L632" s="3">
        <v>9.11</v>
      </c>
      <c r="M632">
        <f>((10.2-L632)/10.2)*100</f>
        <v>10.686274509803921</v>
      </c>
    </row>
    <row r="633" spans="1:13" x14ac:dyDescent="0.35">
      <c r="A633" s="1" t="s">
        <v>8</v>
      </c>
      <c r="B633" t="str">
        <f t="shared" si="37"/>
        <v>R0211</v>
      </c>
      <c r="C633" t="str">
        <f t="shared" si="36"/>
        <v>R</v>
      </c>
      <c r="D633" t="s">
        <v>5</v>
      </c>
      <c r="E633">
        <v>11</v>
      </c>
      <c r="F633" s="2" t="s">
        <v>1843</v>
      </c>
      <c r="G633" s="2" t="s">
        <v>1844</v>
      </c>
      <c r="H633" s="2" t="s">
        <v>1845</v>
      </c>
      <c r="I633" s="2" t="str">
        <f t="shared" si="38"/>
        <v>1.050</v>
      </c>
      <c r="J633" s="2" t="str">
        <f t="shared" si="39"/>
        <v>33.856</v>
      </c>
      <c r="K633" s="2" t="str">
        <f t="shared" si="39"/>
        <v>0.5503</v>
      </c>
      <c r="L633" s="3">
        <v>8</v>
      </c>
      <c r="M633">
        <f>((8.9-L633)/8.9)*100</f>
        <v>10.112359550561802</v>
      </c>
    </row>
    <row r="634" spans="1:13" x14ac:dyDescent="0.35">
      <c r="A634" s="1" t="s">
        <v>21</v>
      </c>
      <c r="B634" t="str">
        <f t="shared" si="37"/>
        <v>R0311</v>
      </c>
      <c r="C634" t="str">
        <f t="shared" si="36"/>
        <v>R</v>
      </c>
      <c r="D634" t="s">
        <v>5</v>
      </c>
      <c r="E634">
        <v>11</v>
      </c>
      <c r="F634" s="2" t="s">
        <v>1846</v>
      </c>
      <c r="G634" s="2" t="s">
        <v>1847</v>
      </c>
      <c r="H634" s="2" t="s">
        <v>1848</v>
      </c>
      <c r="I634" s="2" t="str">
        <f t="shared" si="38"/>
        <v>0.644</v>
      </c>
      <c r="J634" s="2" t="str">
        <f t="shared" si="39"/>
        <v>36.614</v>
      </c>
      <c r="K634" s="2" t="str">
        <f t="shared" si="39"/>
        <v>0.3116</v>
      </c>
      <c r="L634" s="3">
        <v>6.97</v>
      </c>
      <c r="M634">
        <f>((7.72-L634)/7.72)*100</f>
        <v>9.7150259067357503</v>
      </c>
    </row>
    <row r="635" spans="1:13" x14ac:dyDescent="0.35">
      <c r="A635" s="1" t="s">
        <v>9</v>
      </c>
      <c r="B635" t="str">
        <f t="shared" si="37"/>
        <v>R0411</v>
      </c>
      <c r="C635" t="str">
        <f t="shared" ref="C635:C698" si="40">LEFT(D635,1)</f>
        <v>R</v>
      </c>
      <c r="D635" t="s">
        <v>5</v>
      </c>
      <c r="E635">
        <v>11</v>
      </c>
      <c r="F635" s="2" t="s">
        <v>1849</v>
      </c>
      <c r="G635" s="2" t="s">
        <v>1850</v>
      </c>
      <c r="H635" s="2" t="s">
        <v>1851</v>
      </c>
      <c r="I635" s="2" t="str">
        <f t="shared" si="38"/>
        <v>0.698</v>
      </c>
      <c r="J635" s="2" t="str">
        <f t="shared" si="39"/>
        <v>33.307</v>
      </c>
      <c r="K635" s="2" t="str">
        <f t="shared" si="39"/>
        <v>0.3716</v>
      </c>
      <c r="L635" s="3">
        <v>5.96</v>
      </c>
      <c r="M635">
        <f>((6.71-L635)/6.71)*100</f>
        <v>11.177347242921014</v>
      </c>
    </row>
    <row r="636" spans="1:13" x14ac:dyDescent="0.35">
      <c r="A636" s="1" t="s">
        <v>10</v>
      </c>
      <c r="B636" t="str">
        <f t="shared" si="37"/>
        <v>R0511</v>
      </c>
      <c r="C636" t="str">
        <f t="shared" si="40"/>
        <v>R</v>
      </c>
      <c r="D636" t="s">
        <v>5</v>
      </c>
      <c r="E636">
        <v>11</v>
      </c>
      <c r="F636" s="2" t="s">
        <v>1852</v>
      </c>
      <c r="G636" s="2" t="s">
        <v>1853</v>
      </c>
      <c r="H636" s="2" t="s">
        <v>1854</v>
      </c>
      <c r="I636" s="2" t="str">
        <f t="shared" si="38"/>
        <v>0.500</v>
      </c>
      <c r="J636" s="2" t="str">
        <f t="shared" si="39"/>
        <v>35.749</v>
      </c>
      <c r="K636" s="2" t="str">
        <f t="shared" si="39"/>
        <v>0.2481</v>
      </c>
      <c r="L636" s="3">
        <v>6.66</v>
      </c>
      <c r="M636">
        <f>((7.58-L636)/7.58)*100</f>
        <v>12.137203166226913</v>
      </c>
    </row>
    <row r="637" spans="1:13" x14ac:dyDescent="0.35">
      <c r="A637" s="1" t="s">
        <v>11</v>
      </c>
      <c r="B637" t="str">
        <f t="shared" si="37"/>
        <v>R0611</v>
      </c>
      <c r="C637" t="str">
        <f t="shared" si="40"/>
        <v>R</v>
      </c>
      <c r="D637" t="s">
        <v>5</v>
      </c>
      <c r="E637">
        <v>11</v>
      </c>
      <c r="F637" s="2" t="s">
        <v>1855</v>
      </c>
      <c r="G637" s="2" t="s">
        <v>1856</v>
      </c>
      <c r="H637" s="2" t="s">
        <v>1857</v>
      </c>
      <c r="I637" s="2" t="str">
        <f t="shared" si="38"/>
        <v>0.796</v>
      </c>
      <c r="J637" s="2" t="str">
        <f t="shared" si="39"/>
        <v>35.007</v>
      </c>
      <c r="K637" s="2" t="str">
        <f t="shared" si="39"/>
        <v>0.4026</v>
      </c>
      <c r="L637" s="3">
        <v>7.54</v>
      </c>
      <c r="M637">
        <f>((8.47-L637)/8.47)*100</f>
        <v>10.97992916174735</v>
      </c>
    </row>
    <row r="638" spans="1:13" x14ac:dyDescent="0.35">
      <c r="A638" s="1" t="s">
        <v>12</v>
      </c>
      <c r="B638" t="str">
        <f t="shared" si="37"/>
        <v>R0711</v>
      </c>
      <c r="C638" t="str">
        <f t="shared" si="40"/>
        <v>R</v>
      </c>
      <c r="D638" t="s">
        <v>5</v>
      </c>
      <c r="E638">
        <v>11</v>
      </c>
      <c r="F638" s="2" t="s">
        <v>1858</v>
      </c>
      <c r="G638" s="2" t="s">
        <v>1859</v>
      </c>
      <c r="H638" s="2" t="s">
        <v>1860</v>
      </c>
      <c r="I638" s="2" t="str">
        <f t="shared" si="38"/>
        <v>0.649</v>
      </c>
      <c r="J638" s="2" t="str">
        <f t="shared" si="39"/>
        <v>34.202</v>
      </c>
      <c r="K638" s="2" t="str">
        <f t="shared" si="39"/>
        <v>0.3394</v>
      </c>
      <c r="L638" s="3">
        <v>8.74</v>
      </c>
      <c r="M638">
        <f>((9.75-L638)/9.75)*100</f>
        <v>10.358974358974358</v>
      </c>
    </row>
    <row r="639" spans="1:13" x14ac:dyDescent="0.35">
      <c r="A639" s="1" t="s">
        <v>13</v>
      </c>
      <c r="B639" t="str">
        <f t="shared" si="37"/>
        <v>R0811</v>
      </c>
      <c r="C639" t="str">
        <f t="shared" si="40"/>
        <v>R</v>
      </c>
      <c r="D639" t="s">
        <v>5</v>
      </c>
      <c r="E639">
        <v>11</v>
      </c>
      <c r="F639" s="2" t="s">
        <v>1861</v>
      </c>
      <c r="G639" s="2" t="s">
        <v>1862</v>
      </c>
      <c r="H639" s="2" t="s">
        <v>1863</v>
      </c>
      <c r="I639" s="2" t="str">
        <f t="shared" si="38"/>
        <v>0.480</v>
      </c>
      <c r="J639" s="2" t="str">
        <f t="shared" si="39"/>
        <v>34.286</v>
      </c>
      <c r="K639" s="2" t="str">
        <f t="shared" si="39"/>
        <v>0.2487</v>
      </c>
      <c r="L639" s="3">
        <v>9.61</v>
      </c>
      <c r="M639">
        <f>((10.46-L639)/10.46)*100</f>
        <v>8.1261950286807014</v>
      </c>
    </row>
    <row r="640" spans="1:13" x14ac:dyDescent="0.35">
      <c r="A640" s="1" t="s">
        <v>14</v>
      </c>
      <c r="B640" t="str">
        <f t="shared" si="37"/>
        <v>R0911</v>
      </c>
      <c r="C640" t="str">
        <f t="shared" si="40"/>
        <v>R</v>
      </c>
      <c r="D640" t="s">
        <v>5</v>
      </c>
      <c r="E640">
        <v>11</v>
      </c>
      <c r="F640" s="2" t="s">
        <v>1864</v>
      </c>
      <c r="G640" s="2" t="s">
        <v>1865</v>
      </c>
      <c r="H640" s="2" t="s">
        <v>1866</v>
      </c>
      <c r="I640" s="2" t="str">
        <f t="shared" si="38"/>
        <v>0.889</v>
      </c>
      <c r="J640" s="2" t="str">
        <f t="shared" si="39"/>
        <v>35.639</v>
      </c>
      <c r="K640" s="2" t="str">
        <f t="shared" si="39"/>
        <v>0.4418</v>
      </c>
      <c r="L640" s="3">
        <v>8.77</v>
      </c>
      <c r="M640">
        <f>((9.52-L640)/9.52)*100</f>
        <v>7.8781512605042012</v>
      </c>
    </row>
    <row r="641" spans="1:13" x14ac:dyDescent="0.35">
      <c r="A641" s="1" t="s">
        <v>15</v>
      </c>
      <c r="B641" t="str">
        <f t="shared" si="37"/>
        <v>R1011</v>
      </c>
      <c r="C641" t="str">
        <f t="shared" si="40"/>
        <v>R</v>
      </c>
      <c r="D641" t="s">
        <v>5</v>
      </c>
      <c r="E641">
        <v>11</v>
      </c>
      <c r="F641" s="2" t="s">
        <v>1867</v>
      </c>
      <c r="G641" s="2" t="s">
        <v>1868</v>
      </c>
      <c r="H641" s="2" t="s">
        <v>1869</v>
      </c>
      <c r="I641" s="2" t="str">
        <f t="shared" si="38"/>
        <v>1.006</v>
      </c>
      <c r="J641" s="2" t="str">
        <f t="shared" si="39"/>
        <v>34.995</v>
      </c>
      <c r="K641" s="2" t="str">
        <f t="shared" si="39"/>
        <v>0.5159</v>
      </c>
      <c r="L641" s="3">
        <v>13.57</v>
      </c>
      <c r="M641">
        <f>((14.55-L641)/14.55)*100</f>
        <v>6.7353951890034391</v>
      </c>
    </row>
    <row r="642" spans="1:13" x14ac:dyDescent="0.35">
      <c r="A642" s="1" t="s">
        <v>16</v>
      </c>
      <c r="B642" t="str">
        <f t="shared" si="37"/>
        <v>R1111</v>
      </c>
      <c r="C642" t="str">
        <f t="shared" si="40"/>
        <v>R</v>
      </c>
      <c r="D642" t="s">
        <v>5</v>
      </c>
      <c r="E642">
        <v>11</v>
      </c>
      <c r="F642" s="2" t="s">
        <v>1870</v>
      </c>
      <c r="G642" s="2" t="s">
        <v>1871</v>
      </c>
      <c r="H642" s="2" t="s">
        <v>1872</v>
      </c>
      <c r="I642" s="2" t="str">
        <f t="shared" si="38"/>
        <v>0.452</v>
      </c>
      <c r="J642" s="2" t="str">
        <f t="shared" si="39"/>
        <v>32.695</v>
      </c>
      <c r="K642" s="2" t="str">
        <f t="shared" si="39"/>
        <v>0.2449</v>
      </c>
      <c r="L642" s="3">
        <v>8</v>
      </c>
      <c r="M642">
        <f>((8.99-L642)/8.99)*100</f>
        <v>11.012235817575085</v>
      </c>
    </row>
    <row r="643" spans="1:13" x14ac:dyDescent="0.35">
      <c r="A643" s="1" t="s">
        <v>17</v>
      </c>
      <c r="B643" t="str">
        <f t="shared" ref="B643:B706" si="41">CONCATENATE(C643,A643,E643)</f>
        <v>R1211</v>
      </c>
      <c r="C643" t="str">
        <f t="shared" si="40"/>
        <v>R</v>
      </c>
      <c r="D643" t="s">
        <v>5</v>
      </c>
      <c r="E643">
        <v>11</v>
      </c>
      <c r="F643" s="2" t="s">
        <v>1873</v>
      </c>
      <c r="G643" s="2" t="s">
        <v>1874</v>
      </c>
      <c r="H643" s="2" t="s">
        <v>1875</v>
      </c>
      <c r="I643" s="2" t="str">
        <f t="shared" ref="I643:I706" si="42">LEFT(F643,5)</f>
        <v>0.484</v>
      </c>
      <c r="J643" s="2" t="str">
        <f t="shared" si="39"/>
        <v>36.928</v>
      </c>
      <c r="K643" s="2" t="str">
        <f t="shared" si="39"/>
        <v>0.2330</v>
      </c>
      <c r="L643" s="3">
        <v>8.5399999999999991</v>
      </c>
      <c r="M643">
        <f>((9.52-L643)/9.52)*100</f>
        <v>10.294117647058828</v>
      </c>
    </row>
    <row r="644" spans="1:13" x14ac:dyDescent="0.35">
      <c r="A644" s="1" t="s">
        <v>18</v>
      </c>
      <c r="B644" t="str">
        <f t="shared" si="41"/>
        <v>R1311</v>
      </c>
      <c r="C644" t="str">
        <f t="shared" si="40"/>
        <v>R</v>
      </c>
      <c r="D644" t="s">
        <v>5</v>
      </c>
      <c r="E644">
        <v>11</v>
      </c>
      <c r="F644" s="2" t="s">
        <v>1876</v>
      </c>
      <c r="G644" s="2" t="s">
        <v>1877</v>
      </c>
      <c r="H644" s="2" t="s">
        <v>1878</v>
      </c>
      <c r="I644" s="2" t="str">
        <f t="shared" si="42"/>
        <v>1.096</v>
      </c>
      <c r="J644" s="2" t="str">
        <f t="shared" si="39"/>
        <v>33.072</v>
      </c>
      <c r="K644" s="2" t="str">
        <f t="shared" si="39"/>
        <v>0.5869</v>
      </c>
      <c r="L644" s="3">
        <v>9.24</v>
      </c>
      <c r="M644">
        <f>((10.58-L644)/10.58)*100</f>
        <v>12.665406427221171</v>
      </c>
    </row>
    <row r="645" spans="1:13" x14ac:dyDescent="0.35">
      <c r="A645" s="1" t="s">
        <v>19</v>
      </c>
      <c r="B645" t="str">
        <f t="shared" si="41"/>
        <v>R1411</v>
      </c>
      <c r="C645" t="str">
        <f t="shared" si="40"/>
        <v>R</v>
      </c>
      <c r="D645" t="s">
        <v>5</v>
      </c>
      <c r="E645">
        <v>11</v>
      </c>
      <c r="F645" s="2" t="s">
        <v>1879</v>
      </c>
      <c r="G645" s="2" t="s">
        <v>1880</v>
      </c>
      <c r="H645" s="2" t="s">
        <v>1881</v>
      </c>
      <c r="I645" s="2" t="str">
        <f t="shared" si="42"/>
        <v>0.835</v>
      </c>
      <c r="J645" s="2" t="str">
        <f t="shared" ref="J645:K708" si="43">LEFT(G645,6)</f>
        <v>32.111</v>
      </c>
      <c r="K645" s="2" t="str">
        <f t="shared" si="43"/>
        <v>0.4654</v>
      </c>
      <c r="L645" s="3">
        <v>10.19</v>
      </c>
      <c r="M645">
        <f>((11.2-L645)/11.2)*100</f>
        <v>9.0178571428571406</v>
      </c>
    </row>
    <row r="646" spans="1:13" x14ac:dyDescent="0.35">
      <c r="A646" s="1" t="s">
        <v>20</v>
      </c>
      <c r="B646" t="str">
        <f t="shared" si="41"/>
        <v>R1511</v>
      </c>
      <c r="C646" t="str">
        <f t="shared" si="40"/>
        <v>R</v>
      </c>
      <c r="D646" t="s">
        <v>5</v>
      </c>
      <c r="E646">
        <v>11</v>
      </c>
      <c r="F646" s="2" t="s">
        <v>1882</v>
      </c>
      <c r="G646" s="2" t="s">
        <v>1883</v>
      </c>
      <c r="H646" s="2" t="s">
        <v>1884</v>
      </c>
      <c r="I646" s="2" t="str">
        <f t="shared" si="42"/>
        <v>0.487</v>
      </c>
      <c r="J646" s="2" t="str">
        <f t="shared" si="43"/>
        <v>33.394</v>
      </c>
      <c r="K646" s="2" t="str">
        <f t="shared" si="43"/>
        <v>0.2589</v>
      </c>
      <c r="L646" s="3">
        <v>9.32</v>
      </c>
      <c r="M646">
        <f>((10.33-L646)/10.33)*100</f>
        <v>9.7773475314617588</v>
      </c>
    </row>
    <row r="647" spans="1:13" x14ac:dyDescent="0.35">
      <c r="A647" s="1" t="s">
        <v>22</v>
      </c>
      <c r="B647" t="str">
        <f t="shared" si="41"/>
        <v>R1611</v>
      </c>
      <c r="C647" t="str">
        <f t="shared" si="40"/>
        <v>R</v>
      </c>
      <c r="D647" t="s">
        <v>5</v>
      </c>
      <c r="E647">
        <v>11</v>
      </c>
      <c r="F647" s="2" t="s">
        <v>1885</v>
      </c>
      <c r="G647" s="2" t="s">
        <v>1886</v>
      </c>
      <c r="H647" s="2" t="s">
        <v>1887</v>
      </c>
      <c r="I647" s="2" t="str">
        <f t="shared" si="42"/>
        <v>0.914</v>
      </c>
      <c r="J647" s="2" t="str">
        <f t="shared" si="43"/>
        <v>33.488</v>
      </c>
      <c r="K647" s="2" t="str">
        <f t="shared" si="43"/>
        <v>0.4836</v>
      </c>
      <c r="L647" s="3">
        <v>7.52</v>
      </c>
      <c r="M647">
        <f>((8.36-L647)/8.36)*100</f>
        <v>10.047846889952151</v>
      </c>
    </row>
    <row r="648" spans="1:13" x14ac:dyDescent="0.35">
      <c r="A648" s="1" t="s">
        <v>23</v>
      </c>
      <c r="B648" t="str">
        <f t="shared" si="41"/>
        <v>R1711</v>
      </c>
      <c r="C648" t="str">
        <f t="shared" si="40"/>
        <v>R</v>
      </c>
      <c r="D648" t="s">
        <v>5</v>
      </c>
      <c r="E648">
        <v>11</v>
      </c>
      <c r="F648" s="2" t="s">
        <v>1888</v>
      </c>
      <c r="G648" s="2" t="s">
        <v>1889</v>
      </c>
      <c r="H648" s="2" t="s">
        <v>1890</v>
      </c>
      <c r="I648" s="2" t="str">
        <f t="shared" si="42"/>
        <v>1.095</v>
      </c>
      <c r="J648" s="2" t="str">
        <f t="shared" si="43"/>
        <v>34.622</v>
      </c>
      <c r="K648" s="2" t="str">
        <f t="shared" si="43"/>
        <v>0.5598</v>
      </c>
      <c r="L648" s="3">
        <v>9.85</v>
      </c>
      <c r="M648">
        <f>((10.97-L648)/10.97)*100</f>
        <v>10.209662716499553</v>
      </c>
    </row>
    <row r="649" spans="1:13" x14ac:dyDescent="0.35">
      <c r="A649" s="1" t="s">
        <v>24</v>
      </c>
      <c r="B649" t="str">
        <f t="shared" si="41"/>
        <v>R1811</v>
      </c>
      <c r="C649" t="str">
        <f t="shared" si="40"/>
        <v>R</v>
      </c>
      <c r="D649" t="s">
        <v>5</v>
      </c>
      <c r="E649">
        <v>11</v>
      </c>
      <c r="F649" s="2" t="s">
        <v>1891</v>
      </c>
      <c r="G649" s="2" t="s">
        <v>1892</v>
      </c>
      <c r="H649" s="2" t="s">
        <v>1893</v>
      </c>
      <c r="I649" s="2" t="str">
        <f t="shared" si="42"/>
        <v>0.831</v>
      </c>
      <c r="J649" s="2" t="str">
        <f t="shared" si="43"/>
        <v>33.482</v>
      </c>
      <c r="K649" s="2" t="str">
        <f t="shared" si="43"/>
        <v>0.4398</v>
      </c>
      <c r="L649" s="3">
        <v>7.16</v>
      </c>
      <c r="M649">
        <f>((8.03-L649)/8.03)*100</f>
        <v>10.834371108343701</v>
      </c>
    </row>
    <row r="650" spans="1:13" x14ac:dyDescent="0.35">
      <c r="A650" s="1" t="s">
        <v>25</v>
      </c>
      <c r="B650" t="str">
        <f t="shared" si="41"/>
        <v>R1911</v>
      </c>
      <c r="C650" t="str">
        <f t="shared" si="40"/>
        <v>R</v>
      </c>
      <c r="D650" t="s">
        <v>5</v>
      </c>
      <c r="E650">
        <v>11</v>
      </c>
      <c r="F650" s="2" t="s">
        <v>1894</v>
      </c>
      <c r="G650" s="2" t="s">
        <v>1895</v>
      </c>
      <c r="H650" s="2" t="s">
        <v>1896</v>
      </c>
      <c r="I650" s="2" t="str">
        <f t="shared" si="42"/>
        <v>0.910</v>
      </c>
      <c r="J650" s="2" t="str">
        <f t="shared" si="43"/>
        <v>35.501</v>
      </c>
      <c r="K650" s="2" t="str">
        <f t="shared" si="43"/>
        <v>0.4521</v>
      </c>
      <c r="L650" s="3">
        <v>7.98</v>
      </c>
      <c r="M650">
        <f>((8.97-L650)/8.97)*100</f>
        <v>11.036789297658864</v>
      </c>
    </row>
    <row r="651" spans="1:13" x14ac:dyDescent="0.35">
      <c r="A651" s="1" t="s">
        <v>26</v>
      </c>
      <c r="B651" t="str">
        <f t="shared" si="41"/>
        <v>R2011</v>
      </c>
      <c r="C651" t="str">
        <f t="shared" si="40"/>
        <v>R</v>
      </c>
      <c r="D651" t="s">
        <v>5</v>
      </c>
      <c r="E651">
        <v>11</v>
      </c>
      <c r="F651" s="2" t="s">
        <v>1897</v>
      </c>
      <c r="G651" s="2" t="s">
        <v>1898</v>
      </c>
      <c r="H651" s="2" t="s">
        <v>1899</v>
      </c>
      <c r="I651" s="2" t="str">
        <f t="shared" si="42"/>
        <v>1.208</v>
      </c>
      <c r="J651" s="2" t="str">
        <f t="shared" si="43"/>
        <v>34.355</v>
      </c>
      <c r="K651" s="2" t="str">
        <f t="shared" si="43"/>
        <v>0.6228</v>
      </c>
      <c r="L651" s="3">
        <v>8.36</v>
      </c>
      <c r="M651">
        <f>((9.17-L651)/9.17)*100</f>
        <v>8.8331515812431896</v>
      </c>
    </row>
    <row r="652" spans="1:13" x14ac:dyDescent="0.35">
      <c r="A652" s="1" t="s">
        <v>27</v>
      </c>
      <c r="B652" t="str">
        <f t="shared" si="41"/>
        <v>R2111</v>
      </c>
      <c r="C652" t="str">
        <f t="shared" si="40"/>
        <v>R</v>
      </c>
      <c r="D652" t="s">
        <v>5</v>
      </c>
      <c r="E652">
        <v>11</v>
      </c>
      <c r="F652" s="2" t="s">
        <v>1900</v>
      </c>
      <c r="G652" s="2" t="s">
        <v>1901</v>
      </c>
      <c r="H652" s="2" t="s">
        <v>1902</v>
      </c>
      <c r="I652" s="2" t="str">
        <f t="shared" si="42"/>
        <v>0.645</v>
      </c>
      <c r="J652" s="2" t="str">
        <f t="shared" si="43"/>
        <v>35.964</v>
      </c>
      <c r="K652" s="2" t="str">
        <f t="shared" si="43"/>
        <v>0.3177</v>
      </c>
      <c r="L652" s="3">
        <v>10</v>
      </c>
      <c r="M652">
        <f>((11.02-L652)/11.02)*100</f>
        <v>9.2558983666061678</v>
      </c>
    </row>
    <row r="653" spans="1:13" x14ac:dyDescent="0.35">
      <c r="A653" s="1" t="s">
        <v>28</v>
      </c>
      <c r="B653" t="str">
        <f t="shared" si="41"/>
        <v>R2211</v>
      </c>
      <c r="C653" t="str">
        <f t="shared" si="40"/>
        <v>R</v>
      </c>
      <c r="D653" t="s">
        <v>5</v>
      </c>
      <c r="E653">
        <v>11</v>
      </c>
      <c r="F653" s="2" t="s">
        <v>1903</v>
      </c>
      <c r="G653" s="2" t="s">
        <v>1904</v>
      </c>
      <c r="H653" s="2" t="s">
        <v>1905</v>
      </c>
      <c r="I653" s="2" t="str">
        <f t="shared" si="42"/>
        <v>1.067</v>
      </c>
      <c r="J653" s="2" t="str">
        <f t="shared" si="43"/>
        <v>34.963</v>
      </c>
      <c r="K653" s="2" t="str">
        <f t="shared" si="43"/>
        <v>0.5406</v>
      </c>
      <c r="L653" s="3">
        <v>10.31</v>
      </c>
      <c r="M653">
        <f>((11.2-L653)/11.2)*100</f>
        <v>7.9464285714285614</v>
      </c>
    </row>
    <row r="654" spans="1:13" x14ac:dyDescent="0.35">
      <c r="A654" s="1" t="s">
        <v>29</v>
      </c>
      <c r="B654" t="str">
        <f t="shared" si="41"/>
        <v>R2311</v>
      </c>
      <c r="C654" t="str">
        <f t="shared" si="40"/>
        <v>R</v>
      </c>
      <c r="D654" t="s">
        <v>5</v>
      </c>
      <c r="E654">
        <v>11</v>
      </c>
      <c r="F654" s="2" t="s">
        <v>1906</v>
      </c>
      <c r="G654" s="2" t="s">
        <v>1907</v>
      </c>
      <c r="H654" s="2" t="s">
        <v>1908</v>
      </c>
      <c r="I654" s="2" t="str">
        <f t="shared" si="42"/>
        <v>1.134</v>
      </c>
      <c r="J654" s="2" t="str">
        <f t="shared" si="43"/>
        <v>36.992</v>
      </c>
      <c r="K654" s="2" t="str">
        <f t="shared" si="43"/>
        <v>0.5431</v>
      </c>
      <c r="L654" s="3">
        <v>9.5299999999999994</v>
      </c>
      <c r="M654">
        <f>((10.41-L654)/10.41)*100</f>
        <v>8.4534101825168193</v>
      </c>
    </row>
    <row r="655" spans="1:13" x14ac:dyDescent="0.35">
      <c r="A655" s="1" t="s">
        <v>30</v>
      </c>
      <c r="B655" t="str">
        <f t="shared" si="41"/>
        <v>R2411</v>
      </c>
      <c r="C655" t="str">
        <f t="shared" si="40"/>
        <v>R</v>
      </c>
      <c r="D655" t="s">
        <v>5</v>
      </c>
      <c r="E655">
        <v>11</v>
      </c>
      <c r="F655" s="2" t="s">
        <v>1909</v>
      </c>
      <c r="G655" s="2" t="s">
        <v>1910</v>
      </c>
      <c r="H655" s="2" t="s">
        <v>1911</v>
      </c>
      <c r="I655" s="2" t="str">
        <f t="shared" si="42"/>
        <v>0.864</v>
      </c>
      <c r="J655" s="2" t="str">
        <f t="shared" si="43"/>
        <v>34.887</v>
      </c>
      <c r="K655" s="2" t="str">
        <f t="shared" si="43"/>
        <v>0.4400</v>
      </c>
      <c r="L655" s="3">
        <v>10.82</v>
      </c>
      <c r="M655">
        <f>((11.96-L655)/11.96)*100</f>
        <v>9.5317725752508409</v>
      </c>
    </row>
    <row r="656" spans="1:13" x14ac:dyDescent="0.35">
      <c r="A656" s="1" t="s">
        <v>31</v>
      </c>
      <c r="B656" t="str">
        <f t="shared" si="41"/>
        <v>R2511</v>
      </c>
      <c r="C656" t="str">
        <f t="shared" si="40"/>
        <v>R</v>
      </c>
      <c r="D656" t="s">
        <v>5</v>
      </c>
      <c r="E656">
        <v>11</v>
      </c>
      <c r="F656" s="2" t="s">
        <v>1912</v>
      </c>
      <c r="G656" s="2" t="s">
        <v>1913</v>
      </c>
      <c r="H656" s="2" t="s">
        <v>1914</v>
      </c>
      <c r="I656" s="2" t="str">
        <f t="shared" si="42"/>
        <v>0.536</v>
      </c>
      <c r="J656" s="2" t="str">
        <f t="shared" si="43"/>
        <v>35.263</v>
      </c>
      <c r="K656" s="2" t="str">
        <f t="shared" si="43"/>
        <v>0.2697</v>
      </c>
      <c r="L656" s="3">
        <v>10.58</v>
      </c>
      <c r="M656">
        <f>((11.77-L656)/11.77)*100</f>
        <v>10.110450297366182</v>
      </c>
    </row>
    <row r="657" spans="1:13" x14ac:dyDescent="0.35">
      <c r="A657" s="1" t="s">
        <v>32</v>
      </c>
      <c r="B657" t="str">
        <f t="shared" si="41"/>
        <v>R2611</v>
      </c>
      <c r="C657" t="str">
        <f t="shared" si="40"/>
        <v>R</v>
      </c>
      <c r="D657" t="s">
        <v>5</v>
      </c>
      <c r="E657">
        <v>11</v>
      </c>
      <c r="F657" s="2" t="s">
        <v>1915</v>
      </c>
      <c r="G657" s="2" t="s">
        <v>1916</v>
      </c>
      <c r="H657" s="2" t="s">
        <v>1917</v>
      </c>
      <c r="I657" s="2" t="str">
        <f t="shared" si="42"/>
        <v>0.760</v>
      </c>
      <c r="J657" s="2" t="str">
        <f t="shared" si="43"/>
        <v>33.929</v>
      </c>
      <c r="K657" s="2" t="str">
        <f t="shared" si="43"/>
        <v>0.3973</v>
      </c>
      <c r="L657" s="3">
        <v>11.65</v>
      </c>
      <c r="M657">
        <f>((12.72-L657)/12.72)*100</f>
        <v>8.4119496855345943</v>
      </c>
    </row>
    <row r="658" spans="1:13" x14ac:dyDescent="0.35">
      <c r="A658" s="1" t="s">
        <v>33</v>
      </c>
      <c r="B658" t="str">
        <f t="shared" si="41"/>
        <v>R2711</v>
      </c>
      <c r="C658" t="str">
        <f t="shared" si="40"/>
        <v>R</v>
      </c>
      <c r="D658" t="s">
        <v>5</v>
      </c>
      <c r="E658">
        <v>11</v>
      </c>
      <c r="F658" s="2" t="s">
        <v>1918</v>
      </c>
      <c r="G658" s="2" t="s">
        <v>1919</v>
      </c>
      <c r="H658" s="2" t="s">
        <v>1920</v>
      </c>
      <c r="I658" s="2" t="str">
        <f t="shared" si="42"/>
        <v>0.545</v>
      </c>
      <c r="J658" s="2" t="str">
        <f t="shared" si="43"/>
        <v>34.486</v>
      </c>
      <c r="K658" s="2" t="str">
        <f t="shared" si="43"/>
        <v>0.2859</v>
      </c>
      <c r="L658" s="3">
        <v>11.96</v>
      </c>
      <c r="M658">
        <f>((13.02-L658)/13.02)*100</f>
        <v>8.1413210445468405</v>
      </c>
    </row>
    <row r="659" spans="1:13" x14ac:dyDescent="0.35">
      <c r="A659" s="1" t="s">
        <v>34</v>
      </c>
      <c r="B659" t="str">
        <f t="shared" si="41"/>
        <v>R2811</v>
      </c>
      <c r="C659" t="str">
        <f t="shared" si="40"/>
        <v>R</v>
      </c>
      <c r="D659" t="s">
        <v>5</v>
      </c>
      <c r="E659">
        <v>11</v>
      </c>
      <c r="F659" s="2" t="s">
        <v>1921</v>
      </c>
      <c r="G659" s="2" t="s">
        <v>1922</v>
      </c>
      <c r="H659" s="2" t="s">
        <v>1923</v>
      </c>
      <c r="I659" s="2" t="str">
        <f t="shared" si="42"/>
        <v>1.124</v>
      </c>
      <c r="J659" s="2" t="str">
        <f t="shared" si="43"/>
        <v>34.491</v>
      </c>
      <c r="K659" s="2" t="str">
        <f t="shared" si="43"/>
        <v>0.5770</v>
      </c>
      <c r="L659" s="3">
        <v>9.2200000000000006</v>
      </c>
      <c r="M659">
        <f>((10.13-L659)/10.13)*100</f>
        <v>8.9832181638696955</v>
      </c>
    </row>
    <row r="660" spans="1:13" x14ac:dyDescent="0.35">
      <c r="A660" s="1" t="s">
        <v>35</v>
      </c>
      <c r="B660" t="str">
        <f t="shared" si="41"/>
        <v>R2911</v>
      </c>
      <c r="C660" t="str">
        <f t="shared" si="40"/>
        <v>R</v>
      </c>
      <c r="D660" t="s">
        <v>5</v>
      </c>
      <c r="E660">
        <v>11</v>
      </c>
      <c r="F660" s="2" t="s">
        <v>1924</v>
      </c>
      <c r="G660" s="2" t="s">
        <v>1925</v>
      </c>
      <c r="H660" s="2" t="s">
        <v>1926</v>
      </c>
      <c r="I660" s="2" t="str">
        <f t="shared" si="42"/>
        <v>0.474</v>
      </c>
      <c r="J660" s="2" t="str">
        <f t="shared" si="43"/>
        <v>36.579</v>
      </c>
      <c r="K660" s="2" t="str">
        <f t="shared" si="43"/>
        <v>0.2294</v>
      </c>
      <c r="L660" s="3">
        <v>7.2</v>
      </c>
      <c r="M660">
        <f>((8.49-L660)/8.49)*100</f>
        <v>15.19434628975265</v>
      </c>
    </row>
    <row r="661" spans="1:13" x14ac:dyDescent="0.35">
      <c r="A661" s="1" t="s">
        <v>36</v>
      </c>
      <c r="B661" t="str">
        <f t="shared" si="41"/>
        <v>R3011</v>
      </c>
      <c r="C661" t="str">
        <f t="shared" si="40"/>
        <v>R</v>
      </c>
      <c r="D661" t="s">
        <v>5</v>
      </c>
      <c r="E661">
        <v>11</v>
      </c>
      <c r="F661" s="2" t="s">
        <v>1927</v>
      </c>
      <c r="G661" s="2" t="s">
        <v>1928</v>
      </c>
      <c r="H661" s="2" t="s">
        <v>1929</v>
      </c>
      <c r="I661" s="2" t="str">
        <f t="shared" si="42"/>
        <v>0.496</v>
      </c>
      <c r="J661" s="2" t="str">
        <f t="shared" si="43"/>
        <v>33.322</v>
      </c>
      <c r="K661" s="2" t="str">
        <f t="shared" si="43"/>
        <v>0.2642</v>
      </c>
      <c r="L661" s="3">
        <v>6.65</v>
      </c>
      <c r="M661">
        <f>((7.78-L661)/7.78)*100</f>
        <v>14.524421593830333</v>
      </c>
    </row>
    <row r="662" spans="1:13" x14ac:dyDescent="0.35">
      <c r="A662" s="1" t="s">
        <v>7</v>
      </c>
      <c r="B662" t="str">
        <f t="shared" si="41"/>
        <v>C0112</v>
      </c>
      <c r="C662" t="str">
        <f t="shared" si="40"/>
        <v>C</v>
      </c>
      <c r="D662" t="s">
        <v>4</v>
      </c>
      <c r="E662">
        <v>12</v>
      </c>
      <c r="F662" s="2" t="s">
        <v>2109</v>
      </c>
      <c r="G662" s="2" t="s">
        <v>2110</v>
      </c>
      <c r="H662" s="2" t="s">
        <v>2111</v>
      </c>
      <c r="I662" s="2" t="str">
        <f t="shared" si="42"/>
        <v>1.059</v>
      </c>
      <c r="J662" s="2" t="str">
        <f t="shared" si="43"/>
        <v>34.764</v>
      </c>
      <c r="K662" s="2" t="str">
        <f t="shared" si="43"/>
        <v>0.5449</v>
      </c>
      <c r="L662" s="3">
        <v>10.119999999999999</v>
      </c>
      <c r="M662">
        <f>((10.71-L662)/10.71)*100</f>
        <v>5.5088702147525828</v>
      </c>
    </row>
    <row r="663" spans="1:13" x14ac:dyDescent="0.35">
      <c r="A663" s="1" t="s">
        <v>8</v>
      </c>
      <c r="B663" t="str">
        <f t="shared" si="41"/>
        <v>C0212</v>
      </c>
      <c r="C663" t="str">
        <f t="shared" si="40"/>
        <v>C</v>
      </c>
      <c r="D663" t="s">
        <v>4</v>
      </c>
      <c r="E663">
        <v>12</v>
      </c>
      <c r="F663" s="2" t="s">
        <v>2112</v>
      </c>
      <c r="G663" s="2" t="s">
        <v>2113</v>
      </c>
      <c r="H663" s="2" t="s">
        <v>2114</v>
      </c>
      <c r="I663" s="2" t="str">
        <f t="shared" si="42"/>
        <v>1.013</v>
      </c>
      <c r="J663" s="2" t="str">
        <f t="shared" si="43"/>
        <v>38.415</v>
      </c>
      <c r="K663" s="2" t="str">
        <f t="shared" si="43"/>
        <v>0.4671</v>
      </c>
      <c r="L663" s="3">
        <v>10.55</v>
      </c>
      <c r="M663">
        <f>((11.03-L663)/11.03)*100</f>
        <v>4.3517679057116831</v>
      </c>
    </row>
    <row r="664" spans="1:13" x14ac:dyDescent="0.35">
      <c r="A664" s="1" t="s">
        <v>21</v>
      </c>
      <c r="B664" t="str">
        <f t="shared" si="41"/>
        <v>C0312</v>
      </c>
      <c r="C664" t="str">
        <f t="shared" si="40"/>
        <v>C</v>
      </c>
      <c r="D664" t="s">
        <v>4</v>
      </c>
      <c r="E664">
        <v>12</v>
      </c>
      <c r="F664" s="2" t="s">
        <v>2115</v>
      </c>
      <c r="G664" s="2" t="s">
        <v>2116</v>
      </c>
      <c r="H664" s="2" t="s">
        <v>2117</v>
      </c>
      <c r="I664" s="2" t="str">
        <f t="shared" si="42"/>
        <v>0.620</v>
      </c>
      <c r="J664" s="2" t="str">
        <f t="shared" si="43"/>
        <v>32.588</v>
      </c>
      <c r="K664" s="2" t="str">
        <f t="shared" si="43"/>
        <v>0.3392</v>
      </c>
      <c r="L664" s="3">
        <v>8.52</v>
      </c>
      <c r="M664">
        <f>((8.99-L664)/8.99)*100</f>
        <v>5.2280311457174715</v>
      </c>
    </row>
    <row r="665" spans="1:13" x14ac:dyDescent="0.35">
      <c r="A665" s="1" t="s">
        <v>9</v>
      </c>
      <c r="B665" t="str">
        <f t="shared" si="41"/>
        <v>C0412</v>
      </c>
      <c r="C665" t="str">
        <f t="shared" si="40"/>
        <v>C</v>
      </c>
      <c r="D665" t="s">
        <v>4</v>
      </c>
      <c r="E665">
        <v>12</v>
      </c>
      <c r="F665" s="2" t="s">
        <v>2118</v>
      </c>
      <c r="G665" s="2" t="s">
        <v>2119</v>
      </c>
      <c r="H665" s="2" t="s">
        <v>2120</v>
      </c>
      <c r="I665" s="2" t="str">
        <f t="shared" si="42"/>
        <v>0.606</v>
      </c>
      <c r="J665" s="2" t="str">
        <f t="shared" si="43"/>
        <v>34.245</v>
      </c>
      <c r="K665" s="2" t="str">
        <f t="shared" si="43"/>
        <v>0.3132</v>
      </c>
      <c r="L665" s="3">
        <v>12.4</v>
      </c>
      <c r="M665">
        <f>((12.82-L665)/12.82)*100</f>
        <v>3.2761310452418089</v>
      </c>
    </row>
    <row r="666" spans="1:13" x14ac:dyDescent="0.35">
      <c r="A666" s="1" t="s">
        <v>10</v>
      </c>
      <c r="B666" t="str">
        <f t="shared" si="41"/>
        <v>C0512</v>
      </c>
      <c r="C666" t="str">
        <f t="shared" si="40"/>
        <v>C</v>
      </c>
      <c r="D666" t="s">
        <v>4</v>
      </c>
      <c r="E666">
        <v>12</v>
      </c>
      <c r="F666" s="2" t="s">
        <v>2121</v>
      </c>
      <c r="G666" s="2" t="s">
        <v>2122</v>
      </c>
      <c r="H666" s="2" t="s">
        <v>2123</v>
      </c>
      <c r="I666" s="2" t="str">
        <f t="shared" si="42"/>
        <v>0.501</v>
      </c>
      <c r="J666" s="2" t="str">
        <f t="shared" si="43"/>
        <v>36.370</v>
      </c>
      <c r="K666" s="2" t="str">
        <f t="shared" si="43"/>
        <v>0.2442</v>
      </c>
      <c r="L666" s="3">
        <v>10.82</v>
      </c>
      <c r="M666">
        <f>((11.24-L666)/11.24)*100</f>
        <v>3.7366548042704615</v>
      </c>
    </row>
    <row r="667" spans="1:13" x14ac:dyDescent="0.35">
      <c r="A667" s="1" t="s">
        <v>11</v>
      </c>
      <c r="B667" t="str">
        <f t="shared" si="41"/>
        <v>C0612</v>
      </c>
      <c r="C667" t="str">
        <f t="shared" si="40"/>
        <v>C</v>
      </c>
      <c r="D667" t="s">
        <v>4</v>
      </c>
      <c r="E667">
        <v>12</v>
      </c>
      <c r="F667" s="2" t="s">
        <v>2124</v>
      </c>
      <c r="G667" s="2" t="s">
        <v>2125</v>
      </c>
      <c r="H667" s="2" t="s">
        <v>2126</v>
      </c>
      <c r="I667" s="2" t="str">
        <f t="shared" si="42"/>
        <v>0.399</v>
      </c>
      <c r="J667" s="2" t="str">
        <f t="shared" si="43"/>
        <v>36.443</v>
      </c>
      <c r="K667" s="2" t="str">
        <f t="shared" si="43"/>
        <v>0.1941</v>
      </c>
      <c r="L667" s="3">
        <v>9</v>
      </c>
      <c r="M667">
        <f>((9.49-L667)/9.49)*100</f>
        <v>5.1633298208640692</v>
      </c>
    </row>
    <row r="668" spans="1:13" x14ac:dyDescent="0.35">
      <c r="A668" s="1" t="s">
        <v>12</v>
      </c>
      <c r="B668" t="str">
        <f t="shared" si="41"/>
        <v>C0712</v>
      </c>
      <c r="C668" t="str">
        <f t="shared" si="40"/>
        <v>C</v>
      </c>
      <c r="D668" t="s">
        <v>4</v>
      </c>
      <c r="E668">
        <v>12</v>
      </c>
      <c r="F668" s="2" t="s">
        <v>2127</v>
      </c>
      <c r="G668" s="2" t="s">
        <v>2128</v>
      </c>
      <c r="H668" s="2" t="s">
        <v>2129</v>
      </c>
      <c r="I668" s="2" t="str">
        <f t="shared" si="42"/>
        <v>0.817</v>
      </c>
      <c r="J668" s="2" t="str">
        <f t="shared" si="43"/>
        <v>37.549</v>
      </c>
      <c r="K668" s="2" t="str">
        <f t="shared" si="43"/>
        <v>0.3856</v>
      </c>
      <c r="L668" s="3">
        <v>11.87</v>
      </c>
      <c r="M668">
        <f>((12.19-L668)/12.19)*100</f>
        <v>2.625102543068091</v>
      </c>
    </row>
    <row r="669" spans="1:13" x14ac:dyDescent="0.35">
      <c r="A669" s="1" t="s">
        <v>13</v>
      </c>
      <c r="B669" t="str">
        <f t="shared" si="41"/>
        <v>C0812</v>
      </c>
      <c r="C669" t="str">
        <f t="shared" si="40"/>
        <v>C</v>
      </c>
      <c r="D669" t="s">
        <v>4</v>
      </c>
      <c r="E669">
        <v>12</v>
      </c>
      <c r="F669" s="2" t="s">
        <v>2130</v>
      </c>
      <c r="G669" s="2" t="s">
        <v>2131</v>
      </c>
      <c r="H669" s="2" t="s">
        <v>2132</v>
      </c>
      <c r="I669" s="2" t="str">
        <f t="shared" si="42"/>
        <v>0.560</v>
      </c>
      <c r="J669" s="2" t="str">
        <f t="shared" si="43"/>
        <v>32.686</v>
      </c>
      <c r="K669" s="2" t="str">
        <f t="shared" si="43"/>
        <v>0.3035</v>
      </c>
      <c r="L669" s="3">
        <v>8.64</v>
      </c>
      <c r="M669">
        <f>((9.02-L669)/9.02)*100</f>
        <v>4.2128603104212754</v>
      </c>
    </row>
    <row r="670" spans="1:13" x14ac:dyDescent="0.35">
      <c r="A670" s="1" t="s">
        <v>14</v>
      </c>
      <c r="B670" t="str">
        <f t="shared" si="41"/>
        <v>C0912</v>
      </c>
      <c r="C670" t="str">
        <f t="shared" si="40"/>
        <v>C</v>
      </c>
      <c r="D670" t="s">
        <v>4</v>
      </c>
      <c r="E670">
        <v>12</v>
      </c>
      <c r="F670" s="2" t="s">
        <v>2133</v>
      </c>
      <c r="G670" s="2" t="s">
        <v>2134</v>
      </c>
      <c r="H670" s="2" t="s">
        <v>2135</v>
      </c>
      <c r="I670" s="2" t="str">
        <f t="shared" si="42"/>
        <v>0.553</v>
      </c>
      <c r="J670" s="2" t="str">
        <f t="shared" si="43"/>
        <v>31.812</v>
      </c>
      <c r="K670" s="2" t="str">
        <f t="shared" si="43"/>
        <v>0.3085</v>
      </c>
      <c r="L670" s="3">
        <v>8.3800000000000008</v>
      </c>
      <c r="M670">
        <f>((8.66-L670)/8.66)*100</f>
        <v>3.2332563510392536</v>
      </c>
    </row>
    <row r="671" spans="1:13" x14ac:dyDescent="0.35">
      <c r="A671" s="1" t="s">
        <v>15</v>
      </c>
      <c r="B671" t="str">
        <f t="shared" si="41"/>
        <v>C1012</v>
      </c>
      <c r="C671" t="str">
        <f t="shared" si="40"/>
        <v>C</v>
      </c>
      <c r="D671" t="s">
        <v>4</v>
      </c>
      <c r="E671">
        <v>12</v>
      </c>
      <c r="F671" s="2" t="s">
        <v>2136</v>
      </c>
      <c r="G671" s="2" t="s">
        <v>2137</v>
      </c>
      <c r="H671" s="2" t="s">
        <v>2138</v>
      </c>
      <c r="I671" s="2" t="str">
        <f t="shared" si="42"/>
        <v>0.468</v>
      </c>
      <c r="J671" s="2" t="str">
        <f t="shared" si="43"/>
        <v>36.144</v>
      </c>
      <c r="K671" s="2" t="str">
        <f t="shared" si="43"/>
        <v>0.2296</v>
      </c>
      <c r="L671" s="3">
        <v>12.32</v>
      </c>
      <c r="M671">
        <f>((12.87-L671)/12.87)*100</f>
        <v>4.2735042735042654</v>
      </c>
    </row>
    <row r="672" spans="1:13" x14ac:dyDescent="0.35">
      <c r="A672" s="1" t="s">
        <v>16</v>
      </c>
      <c r="B672" t="str">
        <f t="shared" si="41"/>
        <v>C1112</v>
      </c>
      <c r="C672" t="str">
        <f t="shared" si="40"/>
        <v>C</v>
      </c>
      <c r="D672" t="s">
        <v>4</v>
      </c>
      <c r="E672">
        <v>12</v>
      </c>
      <c r="F672" s="2" t="s">
        <v>2139</v>
      </c>
      <c r="G672" s="2" t="s">
        <v>2140</v>
      </c>
      <c r="H672" s="2" t="s">
        <v>2141</v>
      </c>
      <c r="I672" s="2" t="str">
        <f t="shared" si="42"/>
        <v>1.096</v>
      </c>
      <c r="J672" s="2" t="str">
        <f t="shared" si="43"/>
        <v>35.696</v>
      </c>
      <c r="K672" s="2" t="str">
        <f t="shared" si="43"/>
        <v>0.5442</v>
      </c>
      <c r="L672" s="3">
        <v>7.75</v>
      </c>
      <c r="M672">
        <f>((8.02-L672)/8.02)*100</f>
        <v>3.366583541147127</v>
      </c>
    </row>
    <row r="673" spans="1:13" x14ac:dyDescent="0.35">
      <c r="A673" s="1" t="s">
        <v>17</v>
      </c>
      <c r="B673" t="str">
        <f t="shared" si="41"/>
        <v>C1212</v>
      </c>
      <c r="C673" t="str">
        <f t="shared" si="40"/>
        <v>C</v>
      </c>
      <c r="D673" t="s">
        <v>4</v>
      </c>
      <c r="E673">
        <v>12</v>
      </c>
      <c r="F673" s="2" t="s">
        <v>2142</v>
      </c>
      <c r="G673" s="2" t="s">
        <v>2143</v>
      </c>
      <c r="H673" s="2" t="s">
        <v>2144</v>
      </c>
      <c r="I673" s="2" t="str">
        <f t="shared" si="42"/>
        <v>0.828</v>
      </c>
      <c r="J673" s="2" t="str">
        <f t="shared" si="43"/>
        <v>37.368</v>
      </c>
      <c r="K673" s="2" t="str">
        <f t="shared" si="43"/>
        <v>0.3921</v>
      </c>
      <c r="L673" s="3">
        <v>8.7200000000000006</v>
      </c>
      <c r="M673">
        <f>((9.02-L673)/9.02)*100</f>
        <v>3.3259423503325829</v>
      </c>
    </row>
    <row r="674" spans="1:13" x14ac:dyDescent="0.35">
      <c r="A674" s="1" t="s">
        <v>18</v>
      </c>
      <c r="B674" t="str">
        <f t="shared" si="41"/>
        <v>C1312</v>
      </c>
      <c r="C674" t="str">
        <f t="shared" si="40"/>
        <v>C</v>
      </c>
      <c r="D674" t="s">
        <v>4</v>
      </c>
      <c r="E674">
        <v>12</v>
      </c>
      <c r="F674" s="2" t="s">
        <v>2145</v>
      </c>
      <c r="G674" s="2" t="s">
        <v>2146</v>
      </c>
      <c r="H674" s="2" t="s">
        <v>2147</v>
      </c>
      <c r="I674" s="2" t="str">
        <f t="shared" si="42"/>
        <v>1.221</v>
      </c>
      <c r="J674" s="2" t="str">
        <f t="shared" si="43"/>
        <v>35.613</v>
      </c>
      <c r="K674" s="2" t="str">
        <f t="shared" si="43"/>
        <v>0.6070</v>
      </c>
      <c r="L674" s="3">
        <v>10.15</v>
      </c>
      <c r="M674">
        <f>((10.68-L674)/10.68)*100</f>
        <v>4.9625468164793949</v>
      </c>
    </row>
    <row r="675" spans="1:13" x14ac:dyDescent="0.35">
      <c r="A675" s="1" t="s">
        <v>19</v>
      </c>
      <c r="B675" t="str">
        <f t="shared" si="41"/>
        <v>C1412</v>
      </c>
      <c r="C675" t="str">
        <f t="shared" si="40"/>
        <v>C</v>
      </c>
      <c r="D675" t="s">
        <v>4</v>
      </c>
      <c r="E675">
        <v>12</v>
      </c>
      <c r="F675" s="2" t="s">
        <v>2148</v>
      </c>
      <c r="G675" s="2" t="s">
        <v>2149</v>
      </c>
      <c r="H675" s="2" t="s">
        <v>2150</v>
      </c>
      <c r="I675" s="2" t="str">
        <f t="shared" si="42"/>
        <v>0.645</v>
      </c>
      <c r="J675" s="2" t="str">
        <f t="shared" si="43"/>
        <v>33.607</v>
      </c>
      <c r="K675" s="2" t="str">
        <f t="shared" si="43"/>
        <v>0.3404</v>
      </c>
      <c r="L675" s="3">
        <v>8.98</v>
      </c>
      <c r="M675">
        <f>((9.31-L675)/9.31)*100</f>
        <v>3.5445757250268537</v>
      </c>
    </row>
    <row r="676" spans="1:13" x14ac:dyDescent="0.35">
      <c r="A676" s="1" t="s">
        <v>20</v>
      </c>
      <c r="B676" t="str">
        <f t="shared" si="41"/>
        <v>C1512</v>
      </c>
      <c r="C676" t="str">
        <f t="shared" si="40"/>
        <v>C</v>
      </c>
      <c r="D676" t="s">
        <v>4</v>
      </c>
      <c r="E676">
        <v>12</v>
      </c>
      <c r="F676" s="2" t="s">
        <v>2151</v>
      </c>
      <c r="G676" s="2" t="s">
        <v>2152</v>
      </c>
      <c r="H676" s="2" t="s">
        <v>2153</v>
      </c>
      <c r="I676" s="2" t="str">
        <f t="shared" si="42"/>
        <v>1.024</v>
      </c>
      <c r="J676" s="2" t="str">
        <f t="shared" si="43"/>
        <v>36.682</v>
      </c>
      <c r="K676" s="2" t="str">
        <f t="shared" si="43"/>
        <v>0.4948</v>
      </c>
      <c r="L676" s="3">
        <v>12.56</v>
      </c>
      <c r="M676">
        <f>((12.96-L676)/12.96)*100</f>
        <v>3.0864197530864224</v>
      </c>
    </row>
    <row r="677" spans="1:13" x14ac:dyDescent="0.35">
      <c r="A677" s="1" t="s">
        <v>22</v>
      </c>
      <c r="B677" t="str">
        <f t="shared" si="41"/>
        <v>C1612</v>
      </c>
      <c r="C677" t="str">
        <f t="shared" si="40"/>
        <v>C</v>
      </c>
      <c r="D677" t="s">
        <v>4</v>
      </c>
      <c r="E677">
        <v>12</v>
      </c>
      <c r="F677" s="2" t="s">
        <v>2154</v>
      </c>
      <c r="G677" s="2" t="s">
        <v>2155</v>
      </c>
      <c r="H677" s="2" t="s">
        <v>2156</v>
      </c>
      <c r="I677" s="2" t="str">
        <f t="shared" si="42"/>
        <v>1.254</v>
      </c>
      <c r="J677" s="2" t="str">
        <f t="shared" si="43"/>
        <v>35.912</v>
      </c>
      <c r="K677" s="2" t="str">
        <f t="shared" si="43"/>
        <v>0.6176</v>
      </c>
      <c r="L677" s="3">
        <v>12.56</v>
      </c>
      <c r="M677">
        <f>((13.01-L677)/13.01)*100</f>
        <v>3.4588777863182112</v>
      </c>
    </row>
    <row r="678" spans="1:13" x14ac:dyDescent="0.35">
      <c r="A678" s="1" t="s">
        <v>23</v>
      </c>
      <c r="B678" t="str">
        <f t="shared" si="41"/>
        <v>C1712</v>
      </c>
      <c r="C678" t="str">
        <f t="shared" si="40"/>
        <v>C</v>
      </c>
      <c r="D678" t="s">
        <v>4</v>
      </c>
      <c r="E678">
        <v>12</v>
      </c>
      <c r="F678" s="2" t="s">
        <v>2157</v>
      </c>
      <c r="G678" s="2" t="s">
        <v>2158</v>
      </c>
      <c r="H678" s="2" t="s">
        <v>2159</v>
      </c>
      <c r="I678" s="2" t="str">
        <f t="shared" si="42"/>
        <v>1.082</v>
      </c>
      <c r="J678" s="2" t="str">
        <f t="shared" si="43"/>
        <v>38.508</v>
      </c>
      <c r="K678" s="2" t="str">
        <f t="shared" si="43"/>
        <v>0.4979</v>
      </c>
      <c r="L678" s="3">
        <v>7.97</v>
      </c>
      <c r="M678">
        <f>((8.28-L678)/8.28)*100</f>
        <v>3.7439613526570006</v>
      </c>
    </row>
    <row r="679" spans="1:13" x14ac:dyDescent="0.35">
      <c r="A679" s="1" t="s">
        <v>24</v>
      </c>
      <c r="B679" t="str">
        <f t="shared" si="41"/>
        <v>C1812</v>
      </c>
      <c r="C679" t="str">
        <f t="shared" si="40"/>
        <v>C</v>
      </c>
      <c r="D679" t="s">
        <v>4</v>
      </c>
      <c r="E679">
        <v>12</v>
      </c>
      <c r="F679" s="2" t="s">
        <v>2160</v>
      </c>
      <c r="G679" s="2" t="s">
        <v>2161</v>
      </c>
      <c r="H679" s="2" t="s">
        <v>2162</v>
      </c>
      <c r="I679" s="2" t="str">
        <f t="shared" si="42"/>
        <v>0.964</v>
      </c>
      <c r="J679" s="2" t="str">
        <f t="shared" si="43"/>
        <v>34.256</v>
      </c>
      <c r="K679" s="2" t="str">
        <f t="shared" si="43"/>
        <v>0.4982</v>
      </c>
      <c r="L679" s="3">
        <v>8.2200000000000006</v>
      </c>
      <c r="M679">
        <f>((8.57-L679)/8.57)*100</f>
        <v>4.0840140023337179</v>
      </c>
    </row>
    <row r="680" spans="1:13" x14ac:dyDescent="0.35">
      <c r="A680" s="1" t="s">
        <v>25</v>
      </c>
      <c r="B680" t="str">
        <f t="shared" si="41"/>
        <v>C1912</v>
      </c>
      <c r="C680" t="str">
        <f t="shared" si="40"/>
        <v>C</v>
      </c>
      <c r="D680" t="s">
        <v>4</v>
      </c>
      <c r="E680">
        <v>12</v>
      </c>
      <c r="F680" s="2" t="s">
        <v>2163</v>
      </c>
      <c r="G680" s="2" t="s">
        <v>2164</v>
      </c>
      <c r="H680" s="2" t="s">
        <v>2165</v>
      </c>
      <c r="I680" s="2" t="str">
        <f t="shared" si="42"/>
        <v>0.394</v>
      </c>
      <c r="J680" s="2" t="str">
        <f t="shared" si="43"/>
        <v>37.287</v>
      </c>
      <c r="K680" s="2" t="str">
        <f t="shared" si="43"/>
        <v>0.1870</v>
      </c>
      <c r="L680" s="3">
        <v>8.52</v>
      </c>
      <c r="M680">
        <f>((8.79-L680)/8.79)*100</f>
        <v>3.071672354948801</v>
      </c>
    </row>
    <row r="681" spans="1:13" x14ac:dyDescent="0.35">
      <c r="A681" s="1" t="s">
        <v>26</v>
      </c>
      <c r="B681" t="str">
        <f t="shared" si="41"/>
        <v>C2012</v>
      </c>
      <c r="C681" t="str">
        <f t="shared" si="40"/>
        <v>C</v>
      </c>
      <c r="D681" t="s">
        <v>4</v>
      </c>
      <c r="E681">
        <v>12</v>
      </c>
      <c r="F681" s="2" t="s">
        <v>2166</v>
      </c>
      <c r="G681" s="2" t="s">
        <v>2917</v>
      </c>
      <c r="H681" s="2" t="s">
        <v>2167</v>
      </c>
      <c r="I681" s="2" t="str">
        <f t="shared" si="42"/>
        <v>1.038</v>
      </c>
      <c r="J681" s="2" t="str">
        <f t="shared" si="43"/>
        <v>31.038</v>
      </c>
      <c r="K681" s="2" t="str">
        <f t="shared" si="43"/>
        <v>0.5711</v>
      </c>
      <c r="L681" s="3">
        <v>8.27</v>
      </c>
      <c r="M681">
        <f>((8.56-L681)/8.56)*100</f>
        <v>3.3878504672897303</v>
      </c>
    </row>
    <row r="682" spans="1:13" x14ac:dyDescent="0.35">
      <c r="A682" s="1" t="s">
        <v>27</v>
      </c>
      <c r="B682" t="str">
        <f t="shared" si="41"/>
        <v>C2112</v>
      </c>
      <c r="C682" t="str">
        <f t="shared" si="40"/>
        <v>C</v>
      </c>
      <c r="D682" t="s">
        <v>4</v>
      </c>
      <c r="E682">
        <v>12</v>
      </c>
      <c r="F682" s="2" t="s">
        <v>2168</v>
      </c>
      <c r="G682" s="2" t="s">
        <v>2169</v>
      </c>
      <c r="H682" s="2" t="s">
        <v>2170</v>
      </c>
      <c r="I682" s="2" t="str">
        <f t="shared" si="42"/>
        <v>0.811</v>
      </c>
      <c r="J682" s="2" t="str">
        <f t="shared" si="43"/>
        <v>35.335</v>
      </c>
      <c r="K682" s="2" t="str">
        <f t="shared" si="43"/>
        <v>0.4042</v>
      </c>
      <c r="L682" s="3">
        <v>11.31</v>
      </c>
      <c r="M682">
        <f>((11.72-L682)/11.72)*100</f>
        <v>3.4982935153583625</v>
      </c>
    </row>
    <row r="683" spans="1:13" x14ac:dyDescent="0.35">
      <c r="A683" s="1" t="s">
        <v>28</v>
      </c>
      <c r="B683" t="str">
        <f t="shared" si="41"/>
        <v>C2212</v>
      </c>
      <c r="C683" t="str">
        <f t="shared" si="40"/>
        <v>C</v>
      </c>
      <c r="D683" t="s">
        <v>4</v>
      </c>
      <c r="E683">
        <v>12</v>
      </c>
      <c r="F683" s="2" t="s">
        <v>2171</v>
      </c>
      <c r="G683" s="2" t="s">
        <v>2172</v>
      </c>
      <c r="H683" s="2" t="s">
        <v>2173</v>
      </c>
      <c r="I683" s="2" t="str">
        <f t="shared" si="42"/>
        <v>0.660</v>
      </c>
      <c r="J683" s="2" t="str">
        <f t="shared" si="43"/>
        <v>32.615</v>
      </c>
      <c r="K683" s="2" t="str">
        <f t="shared" si="43"/>
        <v>0.3686</v>
      </c>
      <c r="L683" s="3">
        <v>9.74</v>
      </c>
      <c r="M683">
        <f>((10.19-L683)/10.19)*100</f>
        <v>4.4160942100098071</v>
      </c>
    </row>
    <row r="684" spans="1:13" x14ac:dyDescent="0.35">
      <c r="A684" s="1" t="s">
        <v>29</v>
      </c>
      <c r="B684" t="str">
        <f t="shared" si="41"/>
        <v>C2312</v>
      </c>
      <c r="C684" t="str">
        <f t="shared" si="40"/>
        <v>C</v>
      </c>
      <c r="D684" t="s">
        <v>4</v>
      </c>
      <c r="E684">
        <v>12</v>
      </c>
      <c r="F684" s="2" t="s">
        <v>2174</v>
      </c>
      <c r="G684" s="2" t="s">
        <v>2175</v>
      </c>
      <c r="H684" s="2" t="s">
        <v>2176</v>
      </c>
      <c r="I684" s="2" t="str">
        <f t="shared" si="42"/>
        <v>1.092</v>
      </c>
      <c r="J684" s="2" t="str">
        <f t="shared" si="43"/>
        <v>37.409</v>
      </c>
      <c r="K684" s="2" t="str">
        <f t="shared" si="43"/>
        <v>0.5169</v>
      </c>
      <c r="L684" s="3">
        <v>6.31</v>
      </c>
      <c r="M684">
        <f>((6.69-L684)/6.69)*100</f>
        <v>5.6801195814648837</v>
      </c>
    </row>
    <row r="685" spans="1:13" x14ac:dyDescent="0.35">
      <c r="A685" s="1" t="s">
        <v>30</v>
      </c>
      <c r="B685" t="str">
        <f t="shared" si="41"/>
        <v>C2412</v>
      </c>
      <c r="C685" t="str">
        <f t="shared" si="40"/>
        <v>C</v>
      </c>
      <c r="D685" t="s">
        <v>4</v>
      </c>
      <c r="E685">
        <v>12</v>
      </c>
      <c r="F685" s="2" t="s">
        <v>2177</v>
      </c>
      <c r="G685" s="2" t="s">
        <v>2178</v>
      </c>
      <c r="H685" s="2" t="s">
        <v>2179</v>
      </c>
      <c r="I685" s="2" t="str">
        <f t="shared" si="42"/>
        <v>0.509</v>
      </c>
      <c r="J685" s="2" t="str">
        <f t="shared" si="43"/>
        <v>32.863</v>
      </c>
      <c r="K685" s="2" t="str">
        <f t="shared" si="43"/>
        <v>0.2755</v>
      </c>
      <c r="L685" s="3">
        <v>6.41</v>
      </c>
      <c r="M685">
        <f>((6.98-L685)/6.98)*100</f>
        <v>8.1661891117478547</v>
      </c>
    </row>
    <row r="686" spans="1:13" x14ac:dyDescent="0.35">
      <c r="A686" s="1" t="s">
        <v>31</v>
      </c>
      <c r="B686" t="str">
        <f t="shared" si="41"/>
        <v>C2512</v>
      </c>
      <c r="C686" t="str">
        <f t="shared" si="40"/>
        <v>C</v>
      </c>
      <c r="D686" t="s">
        <v>4</v>
      </c>
      <c r="E686">
        <v>12</v>
      </c>
      <c r="F686" s="2" t="s">
        <v>2180</v>
      </c>
      <c r="G686" s="2" t="s">
        <v>2181</v>
      </c>
      <c r="H686" s="2" t="s">
        <v>2182</v>
      </c>
      <c r="I686" s="2" t="str">
        <f t="shared" si="42"/>
        <v>0.738</v>
      </c>
      <c r="J686" s="2" t="str">
        <f t="shared" si="43"/>
        <v>36.912</v>
      </c>
      <c r="K686" s="2" t="str">
        <f t="shared" si="43"/>
        <v>0.3547</v>
      </c>
      <c r="L686" s="3">
        <v>11.38</v>
      </c>
      <c r="M686">
        <f>((11.74-L686)/11.74)*100</f>
        <v>3.0664395229982917</v>
      </c>
    </row>
    <row r="687" spans="1:13" x14ac:dyDescent="0.35">
      <c r="A687" s="1" t="s">
        <v>32</v>
      </c>
      <c r="B687" t="str">
        <f t="shared" si="41"/>
        <v>C2612</v>
      </c>
      <c r="C687" t="str">
        <f t="shared" si="40"/>
        <v>C</v>
      </c>
      <c r="D687" t="s">
        <v>4</v>
      </c>
      <c r="E687">
        <v>12</v>
      </c>
      <c r="F687" s="2" t="s">
        <v>2183</v>
      </c>
      <c r="G687" s="2" t="s">
        <v>2184</v>
      </c>
      <c r="H687" s="2" t="s">
        <v>2185</v>
      </c>
      <c r="I687" s="2" t="str">
        <f t="shared" si="42"/>
        <v>0.505</v>
      </c>
      <c r="J687" s="2" t="str">
        <f t="shared" si="43"/>
        <v>30.360</v>
      </c>
      <c r="K687" s="2" t="str">
        <f t="shared" si="43"/>
        <v>0.2946</v>
      </c>
      <c r="L687" s="3">
        <v>6.48</v>
      </c>
      <c r="M687">
        <f>((6.81-L687)/6.81)*100</f>
        <v>4.8458149779735571</v>
      </c>
    </row>
    <row r="688" spans="1:13" x14ac:dyDescent="0.35">
      <c r="A688" s="1" t="s">
        <v>33</v>
      </c>
      <c r="B688" t="str">
        <f t="shared" si="41"/>
        <v>C2712</v>
      </c>
      <c r="C688" t="str">
        <f t="shared" si="40"/>
        <v>C</v>
      </c>
      <c r="D688" t="s">
        <v>4</v>
      </c>
      <c r="E688">
        <v>12</v>
      </c>
      <c r="F688" s="2" t="s">
        <v>2186</v>
      </c>
      <c r="G688" s="2" t="s">
        <v>2187</v>
      </c>
      <c r="H688" s="2" t="s">
        <v>2188</v>
      </c>
      <c r="I688" s="2" t="str">
        <f t="shared" si="42"/>
        <v>1.113</v>
      </c>
      <c r="J688" s="2" t="str">
        <f t="shared" si="43"/>
        <v>33.955</v>
      </c>
      <c r="K688" s="2" t="str">
        <f t="shared" si="43"/>
        <v>0.5796</v>
      </c>
      <c r="L688" s="3">
        <v>12.82</v>
      </c>
      <c r="M688">
        <f>((13.23-L688)/13.23)*100</f>
        <v>3.0990173847316713</v>
      </c>
    </row>
    <row r="689" spans="1:13" x14ac:dyDescent="0.35">
      <c r="A689" s="1" t="s">
        <v>34</v>
      </c>
      <c r="B689" t="str">
        <f t="shared" si="41"/>
        <v>C2812</v>
      </c>
      <c r="C689" t="str">
        <f t="shared" si="40"/>
        <v>C</v>
      </c>
      <c r="D689" t="s">
        <v>4</v>
      </c>
      <c r="E689">
        <v>12</v>
      </c>
      <c r="F689" s="2" t="s">
        <v>2189</v>
      </c>
      <c r="G689" s="2" t="s">
        <v>2190</v>
      </c>
      <c r="H689" s="2" t="s">
        <v>2191</v>
      </c>
      <c r="I689" s="2" t="str">
        <f t="shared" si="42"/>
        <v>0.580</v>
      </c>
      <c r="J689" s="2" t="str">
        <f t="shared" si="43"/>
        <v>36.206</v>
      </c>
      <c r="K689" s="2" t="str">
        <f t="shared" si="43"/>
        <v>0.2845</v>
      </c>
      <c r="L689" s="3">
        <v>10.220000000000001</v>
      </c>
      <c r="M689">
        <f>((10.74-L689)/10.74)*100</f>
        <v>4.841713221601486</v>
      </c>
    </row>
    <row r="690" spans="1:13" x14ac:dyDescent="0.35">
      <c r="A690" s="1" t="s">
        <v>35</v>
      </c>
      <c r="B690" t="str">
        <f t="shared" si="41"/>
        <v>C2912</v>
      </c>
      <c r="C690" t="str">
        <f t="shared" si="40"/>
        <v>C</v>
      </c>
      <c r="D690" t="s">
        <v>4</v>
      </c>
      <c r="E690">
        <v>12</v>
      </c>
      <c r="F690" s="2" t="s">
        <v>2192</v>
      </c>
      <c r="G690" s="2" t="s">
        <v>2193</v>
      </c>
      <c r="H690" s="2" t="s">
        <v>2194</v>
      </c>
      <c r="I690" s="2" t="str">
        <f t="shared" si="42"/>
        <v>0.836</v>
      </c>
      <c r="J690" s="2" t="str">
        <f t="shared" si="43"/>
        <v>30.681</v>
      </c>
      <c r="K690" s="2" t="str">
        <f t="shared" si="43"/>
        <v>0.4835</v>
      </c>
      <c r="L690" s="3">
        <v>11.24</v>
      </c>
      <c r="M690">
        <f>((11.59-L690)/11.59)*100</f>
        <v>3.0198446937014638</v>
      </c>
    </row>
    <row r="691" spans="1:13" x14ac:dyDescent="0.35">
      <c r="A691" s="1" t="s">
        <v>36</v>
      </c>
      <c r="B691" t="str">
        <f t="shared" si="41"/>
        <v>C3012</v>
      </c>
      <c r="C691" t="str">
        <f t="shared" si="40"/>
        <v>C</v>
      </c>
      <c r="D691" t="s">
        <v>4</v>
      </c>
      <c r="E691">
        <v>12</v>
      </c>
      <c r="F691" s="2" t="s">
        <v>2195</v>
      </c>
      <c r="G691" s="2" t="s">
        <v>2196</v>
      </c>
      <c r="H691" s="2" t="s">
        <v>2197</v>
      </c>
      <c r="I691" s="2" t="str">
        <f t="shared" si="42"/>
        <v>0.974</v>
      </c>
      <c r="J691" s="2" t="str">
        <f t="shared" si="43"/>
        <v>36.694</v>
      </c>
      <c r="K691" s="2" t="str">
        <f t="shared" si="43"/>
        <v>0.4702</v>
      </c>
      <c r="L691" s="3">
        <v>8.99</v>
      </c>
      <c r="M691">
        <f>((9.38-L691)/9.38)*100</f>
        <v>4.1577825159914772</v>
      </c>
    </row>
    <row r="692" spans="1:13" x14ac:dyDescent="0.35">
      <c r="A692" s="1" t="s">
        <v>7</v>
      </c>
      <c r="B692" t="str">
        <f t="shared" si="41"/>
        <v>R0112</v>
      </c>
      <c r="C692" t="str">
        <f t="shared" si="40"/>
        <v>R</v>
      </c>
      <c r="D692" t="s">
        <v>5</v>
      </c>
      <c r="E692">
        <v>12</v>
      </c>
      <c r="F692" s="2" t="s">
        <v>2019</v>
      </c>
      <c r="G692" s="2" t="s">
        <v>2020</v>
      </c>
      <c r="H692" s="2" t="s">
        <v>2021</v>
      </c>
      <c r="I692" s="2" t="str">
        <f t="shared" si="42"/>
        <v>0.706</v>
      </c>
      <c r="J692" s="2" t="str">
        <f t="shared" si="43"/>
        <v>37.468</v>
      </c>
      <c r="K692" s="2" t="str">
        <f t="shared" si="43"/>
        <v>0.3338</v>
      </c>
      <c r="L692" s="3">
        <v>9</v>
      </c>
      <c r="M692">
        <f>((10.2-L692)/10.2)*100</f>
        <v>11.764705882352935</v>
      </c>
    </row>
    <row r="693" spans="1:13" x14ac:dyDescent="0.35">
      <c r="A693" s="1" t="s">
        <v>8</v>
      </c>
      <c r="B693" t="str">
        <f t="shared" si="41"/>
        <v>R0212</v>
      </c>
      <c r="C693" t="str">
        <f t="shared" si="40"/>
        <v>R</v>
      </c>
      <c r="D693" t="s">
        <v>5</v>
      </c>
      <c r="E693">
        <v>12</v>
      </c>
      <c r="F693" s="2" t="s">
        <v>2022</v>
      </c>
      <c r="G693" s="2" t="s">
        <v>2023</v>
      </c>
      <c r="H693" s="2" t="s">
        <v>2024</v>
      </c>
      <c r="I693" s="2" t="str">
        <f t="shared" si="42"/>
        <v>1.045</v>
      </c>
      <c r="J693" s="2" t="str">
        <f t="shared" si="43"/>
        <v>36.251</v>
      </c>
      <c r="K693" s="2" t="str">
        <f t="shared" si="43"/>
        <v>0.5101</v>
      </c>
      <c r="L693" s="3">
        <v>7.96</v>
      </c>
      <c r="M693">
        <f>((8.9-L693)/8.9)*100</f>
        <v>10.561797752808992</v>
      </c>
    </row>
    <row r="694" spans="1:13" x14ac:dyDescent="0.35">
      <c r="A694" s="1" t="s">
        <v>21</v>
      </c>
      <c r="B694" t="str">
        <f t="shared" si="41"/>
        <v>R0312</v>
      </c>
      <c r="C694" t="str">
        <f t="shared" si="40"/>
        <v>R</v>
      </c>
      <c r="D694" t="s">
        <v>5</v>
      </c>
      <c r="E694">
        <v>12</v>
      </c>
      <c r="F694" s="2" t="s">
        <v>2025</v>
      </c>
      <c r="G694" s="2" t="s">
        <v>2026</v>
      </c>
      <c r="H694" s="2" t="s">
        <v>2027</v>
      </c>
      <c r="I694" s="2" t="str">
        <f t="shared" si="42"/>
        <v>0.691</v>
      </c>
      <c r="J694" s="2" t="str">
        <f t="shared" si="43"/>
        <v>35.756</v>
      </c>
      <c r="K694" s="2" t="str">
        <f t="shared" si="43"/>
        <v>0.3424</v>
      </c>
      <c r="L694" s="3">
        <v>6.86</v>
      </c>
      <c r="M694">
        <f>((7.72-L694)/7.72)*100</f>
        <v>11.139896373056986</v>
      </c>
    </row>
    <row r="695" spans="1:13" x14ac:dyDescent="0.35">
      <c r="A695" s="1" t="s">
        <v>9</v>
      </c>
      <c r="B695" t="str">
        <f t="shared" si="41"/>
        <v>R0412</v>
      </c>
      <c r="C695" t="str">
        <f t="shared" si="40"/>
        <v>R</v>
      </c>
      <c r="D695" t="s">
        <v>5</v>
      </c>
      <c r="E695">
        <v>12</v>
      </c>
      <c r="F695" s="2" t="s">
        <v>2028</v>
      </c>
      <c r="G695" s="2" t="s">
        <v>2029</v>
      </c>
      <c r="H695" s="2" t="s">
        <v>2030</v>
      </c>
      <c r="I695" s="2" t="str">
        <f t="shared" si="42"/>
        <v>0.847</v>
      </c>
      <c r="J695" s="2" t="str">
        <f t="shared" si="43"/>
        <v>33.608</v>
      </c>
      <c r="K695" s="2" t="str">
        <f t="shared" si="43"/>
        <v>0.4541</v>
      </c>
      <c r="L695" s="3">
        <v>5.84</v>
      </c>
      <c r="M695">
        <f>((6.71-L695)/6.71)*100</f>
        <v>12.965722801788376</v>
      </c>
    </row>
    <row r="696" spans="1:13" x14ac:dyDescent="0.35">
      <c r="A696" s="1" t="s">
        <v>10</v>
      </c>
      <c r="B696" t="str">
        <f t="shared" si="41"/>
        <v>R0512</v>
      </c>
      <c r="C696" t="str">
        <f t="shared" si="40"/>
        <v>R</v>
      </c>
      <c r="D696" t="s">
        <v>5</v>
      </c>
      <c r="E696">
        <v>12</v>
      </c>
      <c r="F696" s="2" t="s">
        <v>2031</v>
      </c>
      <c r="G696" s="2" t="s">
        <v>2032</v>
      </c>
      <c r="H696" s="2" t="s">
        <v>2033</v>
      </c>
      <c r="I696" s="2" t="str">
        <f t="shared" si="42"/>
        <v>1.075</v>
      </c>
      <c r="J696" s="2" t="str">
        <f t="shared" si="43"/>
        <v>32.917</v>
      </c>
      <c r="K696" s="2" t="str">
        <f t="shared" si="43"/>
        <v>0.5784</v>
      </c>
      <c r="L696" s="3">
        <v>6.61</v>
      </c>
      <c r="M696">
        <f>((7.58-L696)/7.58)*100</f>
        <v>12.796833773087069</v>
      </c>
    </row>
    <row r="697" spans="1:13" x14ac:dyDescent="0.35">
      <c r="A697" s="1" t="s">
        <v>11</v>
      </c>
      <c r="B697" t="str">
        <f t="shared" si="41"/>
        <v>R0612</v>
      </c>
      <c r="C697" t="str">
        <f t="shared" si="40"/>
        <v>R</v>
      </c>
      <c r="D697" t="s">
        <v>5</v>
      </c>
      <c r="E697">
        <v>12</v>
      </c>
      <c r="F697" s="2" t="s">
        <v>2034</v>
      </c>
      <c r="G697" s="2" t="s">
        <v>2035</v>
      </c>
      <c r="H697" s="2" t="s">
        <v>2036</v>
      </c>
      <c r="I697" s="2" t="str">
        <f t="shared" si="42"/>
        <v>0.976</v>
      </c>
      <c r="J697" s="2" t="str">
        <f t="shared" si="43"/>
        <v>33.855</v>
      </c>
      <c r="K697" s="2" t="str">
        <f t="shared" si="43"/>
        <v>0.5096</v>
      </c>
      <c r="L697" s="3">
        <v>7.49</v>
      </c>
      <c r="M697">
        <f>((8.47-L697)/8.47)*100</f>
        <v>11.570247933884302</v>
      </c>
    </row>
    <row r="698" spans="1:13" x14ac:dyDescent="0.35">
      <c r="A698" s="1" t="s">
        <v>12</v>
      </c>
      <c r="B698" t="str">
        <f t="shared" si="41"/>
        <v>R0712</v>
      </c>
      <c r="C698" t="str">
        <f t="shared" si="40"/>
        <v>R</v>
      </c>
      <c r="D698" t="s">
        <v>5</v>
      </c>
      <c r="E698">
        <v>12</v>
      </c>
      <c r="F698" s="2" t="s">
        <v>2037</v>
      </c>
      <c r="G698" s="2" t="s">
        <v>2038</v>
      </c>
      <c r="H698" s="2" t="s">
        <v>2039</v>
      </c>
      <c r="I698" s="2" t="str">
        <f t="shared" si="42"/>
        <v>0.808</v>
      </c>
      <c r="J698" s="2" t="str">
        <f t="shared" si="43"/>
        <v>34.842</v>
      </c>
      <c r="K698" s="2" t="str">
        <f t="shared" si="43"/>
        <v>0.4017</v>
      </c>
      <c r="L698" s="3">
        <v>8.66</v>
      </c>
      <c r="M698">
        <f>((9.75-L698)/9.75)*100</f>
        <v>11.179487179487179</v>
      </c>
    </row>
    <row r="699" spans="1:13" x14ac:dyDescent="0.35">
      <c r="A699" s="1" t="s">
        <v>13</v>
      </c>
      <c r="B699" t="str">
        <f t="shared" si="41"/>
        <v>R0812</v>
      </c>
      <c r="C699" t="str">
        <f t="shared" ref="C699:C762" si="44">LEFT(D699,1)</f>
        <v>R</v>
      </c>
      <c r="D699" t="s">
        <v>5</v>
      </c>
      <c r="E699">
        <v>12</v>
      </c>
      <c r="F699" s="2" t="s">
        <v>2040</v>
      </c>
      <c r="G699" s="2" t="s">
        <v>2041</v>
      </c>
      <c r="H699" s="2" t="s">
        <v>2042</v>
      </c>
      <c r="I699" s="2" t="str">
        <f t="shared" si="42"/>
        <v>0.505</v>
      </c>
      <c r="J699" s="2" t="str">
        <f t="shared" si="43"/>
        <v>35.311</v>
      </c>
      <c r="K699" s="2" t="str">
        <f t="shared" si="43"/>
        <v>0.2533</v>
      </c>
      <c r="L699" s="3">
        <v>9.5500000000000007</v>
      </c>
      <c r="M699">
        <f>((10.46-L699)/10.46)*100</f>
        <v>8.6998087954110908</v>
      </c>
    </row>
    <row r="700" spans="1:13" x14ac:dyDescent="0.35">
      <c r="A700" s="1" t="s">
        <v>14</v>
      </c>
      <c r="B700" t="str">
        <f t="shared" si="41"/>
        <v>R0912</v>
      </c>
      <c r="C700" t="str">
        <f t="shared" si="44"/>
        <v>R</v>
      </c>
      <c r="D700" t="s">
        <v>5</v>
      </c>
      <c r="E700">
        <v>12</v>
      </c>
      <c r="F700" s="2" t="s">
        <v>2043</v>
      </c>
      <c r="G700" s="2" t="s">
        <v>2044</v>
      </c>
      <c r="H700" s="2" t="s">
        <v>2045</v>
      </c>
      <c r="I700" s="2" t="str">
        <f t="shared" si="42"/>
        <v>0.939</v>
      </c>
      <c r="J700" s="2" t="str">
        <f t="shared" si="43"/>
        <v>35.738</v>
      </c>
      <c r="K700" s="2" t="str">
        <f t="shared" si="43"/>
        <v>0.4655</v>
      </c>
      <c r="L700" s="3">
        <v>8.73</v>
      </c>
      <c r="M700">
        <f>((9.52-L700)/9.52)*100</f>
        <v>8.2983193277310843</v>
      </c>
    </row>
    <row r="701" spans="1:13" x14ac:dyDescent="0.35">
      <c r="A701" s="1" t="s">
        <v>15</v>
      </c>
      <c r="B701" t="str">
        <f t="shared" si="41"/>
        <v>R1012</v>
      </c>
      <c r="C701" t="str">
        <f t="shared" si="44"/>
        <v>R</v>
      </c>
      <c r="D701" t="s">
        <v>5</v>
      </c>
      <c r="E701">
        <v>12</v>
      </c>
      <c r="F701" s="2" t="s">
        <v>2046</v>
      </c>
      <c r="G701" s="2" t="s">
        <v>2047</v>
      </c>
      <c r="H701" s="2" t="s">
        <v>2048</v>
      </c>
      <c r="I701" s="2" t="str">
        <f t="shared" si="42"/>
        <v>0.460</v>
      </c>
      <c r="J701" s="2" t="str">
        <f t="shared" si="43"/>
        <v>38.752</v>
      </c>
      <c r="K701" s="2" t="str">
        <f t="shared" si="43"/>
        <v>0.2103</v>
      </c>
      <c r="L701" s="3">
        <v>13.52</v>
      </c>
      <c r="M701">
        <f>((14.55-L701)/14.55)*100</f>
        <v>7.0790378006872938</v>
      </c>
    </row>
    <row r="702" spans="1:13" x14ac:dyDescent="0.35">
      <c r="A702" s="1" t="s">
        <v>16</v>
      </c>
      <c r="B702" t="str">
        <f t="shared" si="41"/>
        <v>R1112</v>
      </c>
      <c r="C702" t="str">
        <f t="shared" si="44"/>
        <v>R</v>
      </c>
      <c r="D702" t="s">
        <v>5</v>
      </c>
      <c r="E702">
        <v>12</v>
      </c>
      <c r="F702" s="2" t="s">
        <v>2049</v>
      </c>
      <c r="G702" s="2" t="s">
        <v>2050</v>
      </c>
      <c r="H702" s="2" t="s">
        <v>2051</v>
      </c>
      <c r="I702" s="2" t="str">
        <f t="shared" si="42"/>
        <v>0.401</v>
      </c>
      <c r="J702" s="2" t="str">
        <f t="shared" si="43"/>
        <v>37.357</v>
      </c>
      <c r="K702" s="2" t="str">
        <f t="shared" si="43"/>
        <v>0.1898</v>
      </c>
      <c r="L702" s="3">
        <v>7.99</v>
      </c>
      <c r="M702">
        <f>((8.99-L702)/8.99)*100</f>
        <v>11.123470522803114</v>
      </c>
    </row>
    <row r="703" spans="1:13" x14ac:dyDescent="0.35">
      <c r="A703" s="1" t="s">
        <v>17</v>
      </c>
      <c r="B703" t="str">
        <f t="shared" si="41"/>
        <v>R1212</v>
      </c>
      <c r="C703" t="str">
        <f t="shared" si="44"/>
        <v>R</v>
      </c>
      <c r="D703" t="s">
        <v>5</v>
      </c>
      <c r="E703">
        <v>12</v>
      </c>
      <c r="F703" s="2" t="s">
        <v>2052</v>
      </c>
      <c r="G703" s="2" t="s">
        <v>2053</v>
      </c>
      <c r="H703" s="2" t="s">
        <v>2054</v>
      </c>
      <c r="I703" s="2" t="str">
        <f t="shared" si="42"/>
        <v>0.590</v>
      </c>
      <c r="J703" s="2" t="str">
        <f t="shared" si="43"/>
        <v>35.797</v>
      </c>
      <c r="K703" s="2" t="str">
        <f t="shared" si="43"/>
        <v>0.2934</v>
      </c>
      <c r="L703" s="3">
        <v>8.49</v>
      </c>
      <c r="M703">
        <f>((9.52-L703)/9.52)*100</f>
        <v>10.819327731092431</v>
      </c>
    </row>
    <row r="704" spans="1:13" x14ac:dyDescent="0.35">
      <c r="A704" s="1" t="s">
        <v>18</v>
      </c>
      <c r="B704" t="str">
        <f t="shared" si="41"/>
        <v>R1312</v>
      </c>
      <c r="C704" t="str">
        <f t="shared" si="44"/>
        <v>R</v>
      </c>
      <c r="D704" t="s">
        <v>5</v>
      </c>
      <c r="E704">
        <v>12</v>
      </c>
      <c r="F704" s="2" t="s">
        <v>2055</v>
      </c>
      <c r="G704" s="2" t="s">
        <v>2056</v>
      </c>
      <c r="H704" s="2" t="s">
        <v>2057</v>
      </c>
      <c r="I704" s="2" t="str">
        <f t="shared" si="42"/>
        <v>0.667</v>
      </c>
      <c r="J704" s="2" t="str">
        <f t="shared" si="43"/>
        <v>31.234</v>
      </c>
      <c r="K704" s="2" t="str">
        <f t="shared" si="43"/>
        <v>0.3788</v>
      </c>
      <c r="L704" s="3">
        <v>9.1</v>
      </c>
      <c r="M704">
        <f>((10.58-L704)/10.58)*100</f>
        <v>13.988657844990552</v>
      </c>
    </row>
    <row r="705" spans="1:13" x14ac:dyDescent="0.35">
      <c r="A705" s="1" t="s">
        <v>19</v>
      </c>
      <c r="B705" t="str">
        <f t="shared" si="41"/>
        <v>R1412</v>
      </c>
      <c r="C705" t="str">
        <f t="shared" si="44"/>
        <v>R</v>
      </c>
      <c r="D705" t="s">
        <v>5</v>
      </c>
      <c r="E705">
        <v>12</v>
      </c>
      <c r="F705" s="2" t="s">
        <v>2058</v>
      </c>
      <c r="G705" s="2" t="s">
        <v>2059</v>
      </c>
      <c r="H705" s="2" t="s">
        <v>2060</v>
      </c>
      <c r="I705" s="2" t="str">
        <f t="shared" si="42"/>
        <v>0.524</v>
      </c>
      <c r="J705" s="2" t="str">
        <f t="shared" si="43"/>
        <v>34.852</v>
      </c>
      <c r="K705" s="2" t="str">
        <f t="shared" si="43"/>
        <v>0.2650</v>
      </c>
      <c r="L705" s="3">
        <v>10.14</v>
      </c>
      <c r="M705">
        <f>((11.2-L705)/11.2)*100</f>
        <v>9.4642857142857029</v>
      </c>
    </row>
    <row r="706" spans="1:13" x14ac:dyDescent="0.35">
      <c r="A706" s="1" t="s">
        <v>20</v>
      </c>
      <c r="B706" t="str">
        <f t="shared" si="41"/>
        <v>R1512</v>
      </c>
      <c r="C706" t="str">
        <f t="shared" si="44"/>
        <v>R</v>
      </c>
      <c r="D706" t="s">
        <v>5</v>
      </c>
      <c r="E706">
        <v>12</v>
      </c>
      <c r="F706" s="2" t="s">
        <v>2061</v>
      </c>
      <c r="G706" s="2" t="s">
        <v>2062</v>
      </c>
      <c r="H706" s="2" t="s">
        <v>2063</v>
      </c>
      <c r="I706" s="2" t="str">
        <f t="shared" si="42"/>
        <v>0.508</v>
      </c>
      <c r="J706" s="2" t="str">
        <f t="shared" si="43"/>
        <v>38.564</v>
      </c>
      <c r="K706" s="2" t="str">
        <f t="shared" si="43"/>
        <v>0.2335</v>
      </c>
      <c r="L706" s="3">
        <v>9.23</v>
      </c>
      <c r="M706">
        <f>((10.33-L706)/10.33)*100</f>
        <v>10.648596321393995</v>
      </c>
    </row>
    <row r="707" spans="1:13" x14ac:dyDescent="0.35">
      <c r="A707" s="1" t="s">
        <v>22</v>
      </c>
      <c r="B707" t="str">
        <f t="shared" ref="B707:B770" si="45">CONCATENATE(C707,A707,E707)</f>
        <v>R1612</v>
      </c>
      <c r="C707" t="str">
        <f t="shared" si="44"/>
        <v>R</v>
      </c>
      <c r="D707" t="s">
        <v>5</v>
      </c>
      <c r="E707">
        <v>12</v>
      </c>
      <c r="F707" s="2" t="s">
        <v>2064</v>
      </c>
      <c r="G707" s="2" t="s">
        <v>2065</v>
      </c>
      <c r="H707" s="2" t="s">
        <v>2066</v>
      </c>
      <c r="I707" s="2" t="str">
        <f t="shared" ref="I707:I770" si="46">LEFT(F707,5)</f>
        <v>0.764</v>
      </c>
      <c r="J707" s="2" t="str">
        <f t="shared" si="43"/>
        <v>36.715</v>
      </c>
      <c r="K707" s="2" t="str">
        <f t="shared" si="43"/>
        <v>0.3691</v>
      </c>
      <c r="L707" s="3">
        <v>7.48</v>
      </c>
      <c r="M707">
        <f>((8.36-L707)/8.36)*100</f>
        <v>10.526315789473673</v>
      </c>
    </row>
    <row r="708" spans="1:13" x14ac:dyDescent="0.35">
      <c r="A708" s="1" t="s">
        <v>23</v>
      </c>
      <c r="B708" t="str">
        <f t="shared" si="45"/>
        <v>R1712</v>
      </c>
      <c r="C708" t="str">
        <f t="shared" si="44"/>
        <v>R</v>
      </c>
      <c r="D708" t="s">
        <v>5</v>
      </c>
      <c r="E708">
        <v>12</v>
      </c>
      <c r="F708" s="2" t="s">
        <v>2067</v>
      </c>
      <c r="G708" s="2" t="s">
        <v>2068</v>
      </c>
      <c r="H708" s="2" t="s">
        <v>2069</v>
      </c>
      <c r="I708" s="2" t="str">
        <f t="shared" si="46"/>
        <v>0.763</v>
      </c>
      <c r="J708" s="2" t="str">
        <f t="shared" si="43"/>
        <v>36.413</v>
      </c>
      <c r="K708" s="2" t="str">
        <f t="shared" si="43"/>
        <v>0.3774</v>
      </c>
      <c r="L708" s="3">
        <v>9.76</v>
      </c>
      <c r="M708">
        <f>((10.97-L708)/10.97)*100</f>
        <v>11.03008204193255</v>
      </c>
    </row>
    <row r="709" spans="1:13" x14ac:dyDescent="0.35">
      <c r="A709" s="1" t="s">
        <v>24</v>
      </c>
      <c r="B709" t="str">
        <f t="shared" si="45"/>
        <v>R1812</v>
      </c>
      <c r="C709" t="str">
        <f t="shared" si="44"/>
        <v>R</v>
      </c>
      <c r="D709" t="s">
        <v>5</v>
      </c>
      <c r="E709">
        <v>12</v>
      </c>
      <c r="F709" s="2" t="s">
        <v>2070</v>
      </c>
      <c r="G709" s="2" t="s">
        <v>2071</v>
      </c>
      <c r="H709" s="2" t="s">
        <v>2072</v>
      </c>
      <c r="I709" s="2" t="str">
        <f t="shared" si="46"/>
        <v>1.041</v>
      </c>
      <c r="J709" s="2" t="str">
        <f t="shared" ref="J709:K772" si="47">LEFT(G709,6)</f>
        <v>36.741</v>
      </c>
      <c r="K709" s="2" t="str">
        <f t="shared" si="47"/>
        <v>0.5005</v>
      </c>
      <c r="L709" s="3">
        <v>7.03</v>
      </c>
      <c r="M709">
        <f>((8.03-L709)/8.03)*100</f>
        <v>12.453300124532991</v>
      </c>
    </row>
    <row r="710" spans="1:13" x14ac:dyDescent="0.35">
      <c r="A710" s="1" t="s">
        <v>25</v>
      </c>
      <c r="B710" t="str">
        <f t="shared" si="45"/>
        <v>R1912</v>
      </c>
      <c r="C710" t="str">
        <f t="shared" si="44"/>
        <v>R</v>
      </c>
      <c r="D710" t="s">
        <v>5</v>
      </c>
      <c r="E710">
        <v>12</v>
      </c>
      <c r="F710" s="2" t="s">
        <v>2073</v>
      </c>
      <c r="G710" s="2" t="s">
        <v>2074</v>
      </c>
      <c r="H710" s="2" t="s">
        <v>2075</v>
      </c>
      <c r="I710" s="2" t="str">
        <f t="shared" si="46"/>
        <v>0.623</v>
      </c>
      <c r="J710" s="2" t="str">
        <f t="shared" si="47"/>
        <v>36.190</v>
      </c>
      <c r="K710" s="2" t="str">
        <f t="shared" si="47"/>
        <v>0.3048</v>
      </c>
      <c r="L710" s="3">
        <v>7.89</v>
      </c>
      <c r="M710">
        <f>((8.97-L710)/8.97)*100</f>
        <v>12.040133779264224</v>
      </c>
    </row>
    <row r="711" spans="1:13" x14ac:dyDescent="0.35">
      <c r="A711" s="1" t="s">
        <v>26</v>
      </c>
      <c r="B711" t="str">
        <f t="shared" si="45"/>
        <v>R2012</v>
      </c>
      <c r="C711" t="str">
        <f t="shared" si="44"/>
        <v>R</v>
      </c>
      <c r="D711" t="s">
        <v>5</v>
      </c>
      <c r="E711">
        <v>12</v>
      </c>
      <c r="F711" s="2" t="s">
        <v>2076</v>
      </c>
      <c r="G711" s="2" t="s">
        <v>2077</v>
      </c>
      <c r="H711" s="2" t="s">
        <v>2078</v>
      </c>
      <c r="I711" s="2" t="str">
        <f t="shared" si="46"/>
        <v>0.526</v>
      </c>
      <c r="J711" s="2" t="str">
        <f t="shared" si="47"/>
        <v>34.195</v>
      </c>
      <c r="K711" s="2" t="str">
        <f t="shared" si="47"/>
        <v>0.2743</v>
      </c>
      <c r="L711" s="3">
        <v>8.32</v>
      </c>
      <c r="M711">
        <f>((9.17-L711)/9.17)*100</f>
        <v>9.2693565976008685</v>
      </c>
    </row>
    <row r="712" spans="1:13" x14ac:dyDescent="0.35">
      <c r="A712" s="1" t="s">
        <v>27</v>
      </c>
      <c r="B712" t="str">
        <f t="shared" si="45"/>
        <v>R2112</v>
      </c>
      <c r="C712" t="str">
        <f t="shared" si="44"/>
        <v>R</v>
      </c>
      <c r="D712" t="s">
        <v>5</v>
      </c>
      <c r="E712">
        <v>12</v>
      </c>
      <c r="F712" s="2" t="s">
        <v>2079</v>
      </c>
      <c r="G712" s="2" t="s">
        <v>2080</v>
      </c>
      <c r="H712" s="2" t="s">
        <v>2081</v>
      </c>
      <c r="I712" s="2" t="str">
        <f t="shared" si="46"/>
        <v>0.563</v>
      </c>
      <c r="J712" s="2" t="str">
        <f t="shared" si="47"/>
        <v>33.009</v>
      </c>
      <c r="K712" s="2" t="str">
        <f t="shared" si="47"/>
        <v>0.3021</v>
      </c>
      <c r="L712" s="3">
        <v>9.9700000000000006</v>
      </c>
      <c r="M712">
        <f>((11.02-L712)/11.02)*100</f>
        <v>9.528130671506343</v>
      </c>
    </row>
    <row r="713" spans="1:13" x14ac:dyDescent="0.35">
      <c r="A713" s="1" t="s">
        <v>28</v>
      </c>
      <c r="B713" t="str">
        <f t="shared" si="45"/>
        <v>R2212</v>
      </c>
      <c r="C713" t="str">
        <f t="shared" si="44"/>
        <v>R</v>
      </c>
      <c r="D713" t="s">
        <v>5</v>
      </c>
      <c r="E713">
        <v>12</v>
      </c>
      <c r="F713" s="2" t="s">
        <v>2082</v>
      </c>
      <c r="G713" s="2" t="s">
        <v>2083</v>
      </c>
      <c r="H713" s="2" t="s">
        <v>2084</v>
      </c>
      <c r="I713" s="2" t="str">
        <f t="shared" si="46"/>
        <v>0.800</v>
      </c>
      <c r="J713" s="2" t="str">
        <f t="shared" si="47"/>
        <v>34.003</v>
      </c>
      <c r="K713" s="2" t="str">
        <f t="shared" si="47"/>
        <v>0.4163</v>
      </c>
      <c r="L713" s="3">
        <v>10.23</v>
      </c>
      <c r="M713">
        <f>((11.2-L713)/11.2)*100</f>
        <v>8.6607142857142758</v>
      </c>
    </row>
    <row r="714" spans="1:13" x14ac:dyDescent="0.35">
      <c r="A714" s="1" t="s">
        <v>29</v>
      </c>
      <c r="B714" t="str">
        <f t="shared" si="45"/>
        <v>R2312</v>
      </c>
      <c r="C714" t="str">
        <f t="shared" si="44"/>
        <v>R</v>
      </c>
      <c r="D714" t="s">
        <v>5</v>
      </c>
      <c r="E714">
        <v>12</v>
      </c>
      <c r="F714" s="2" t="s">
        <v>2085</v>
      </c>
      <c r="G714" s="2" t="s">
        <v>2086</v>
      </c>
      <c r="H714" s="2" t="s">
        <v>2087</v>
      </c>
      <c r="I714" s="2" t="str">
        <f t="shared" si="46"/>
        <v>0.454</v>
      </c>
      <c r="J714" s="2" t="str">
        <f t="shared" si="47"/>
        <v>37.718</v>
      </c>
      <c r="K714" s="2" t="str">
        <f t="shared" si="47"/>
        <v>0.2137</v>
      </c>
      <c r="L714" s="3">
        <v>9.4600000000000009</v>
      </c>
      <c r="M714">
        <f>((10.41-L714)/10.41)*100</f>
        <v>9.1258405379442777</v>
      </c>
    </row>
    <row r="715" spans="1:13" x14ac:dyDescent="0.35">
      <c r="A715" s="1" t="s">
        <v>30</v>
      </c>
      <c r="B715" t="str">
        <f t="shared" si="45"/>
        <v>R2412</v>
      </c>
      <c r="C715" t="str">
        <f t="shared" si="44"/>
        <v>R</v>
      </c>
      <c r="D715" t="s">
        <v>5</v>
      </c>
      <c r="E715">
        <v>12</v>
      </c>
      <c r="F715" s="2" t="s">
        <v>2088</v>
      </c>
      <c r="G715" s="2" t="s">
        <v>2089</v>
      </c>
      <c r="H715" s="2" t="s">
        <v>2090</v>
      </c>
      <c r="I715" s="2" t="str">
        <f t="shared" si="46"/>
        <v>0.827</v>
      </c>
      <c r="J715" s="2" t="str">
        <f t="shared" si="47"/>
        <v>35.996</v>
      </c>
      <c r="K715" s="2" t="str">
        <f t="shared" si="47"/>
        <v>0.4066</v>
      </c>
      <c r="L715" s="3">
        <v>10.72</v>
      </c>
      <c r="M715">
        <f>((11.96-L715)/11.96)*100</f>
        <v>10.36789297658863</v>
      </c>
    </row>
    <row r="716" spans="1:13" x14ac:dyDescent="0.35">
      <c r="A716" s="1" t="s">
        <v>31</v>
      </c>
      <c r="B716" t="str">
        <f t="shared" si="45"/>
        <v>R2512</v>
      </c>
      <c r="C716" t="str">
        <f t="shared" si="44"/>
        <v>R</v>
      </c>
      <c r="D716" t="s">
        <v>5</v>
      </c>
      <c r="E716">
        <v>12</v>
      </c>
      <c r="F716" s="2" t="s">
        <v>2091</v>
      </c>
      <c r="G716" s="2" t="s">
        <v>2092</v>
      </c>
      <c r="H716" s="2" t="s">
        <v>2093</v>
      </c>
      <c r="I716" s="2" t="str">
        <f t="shared" si="46"/>
        <v>0.538</v>
      </c>
      <c r="J716" s="2" t="str">
        <f t="shared" si="47"/>
        <v>34.170</v>
      </c>
      <c r="K716" s="2" t="str">
        <f t="shared" si="47"/>
        <v>0.2791</v>
      </c>
      <c r="L716" s="3">
        <v>10.45</v>
      </c>
      <c r="M716">
        <f>((11.77-L716)/11.77)*100</f>
        <v>11.21495327102804</v>
      </c>
    </row>
    <row r="717" spans="1:13" x14ac:dyDescent="0.35">
      <c r="A717" s="1" t="s">
        <v>32</v>
      </c>
      <c r="B717" t="str">
        <f t="shared" si="45"/>
        <v>R2612</v>
      </c>
      <c r="C717" t="str">
        <f t="shared" si="44"/>
        <v>R</v>
      </c>
      <c r="D717" t="s">
        <v>5</v>
      </c>
      <c r="E717">
        <v>12</v>
      </c>
      <c r="F717" s="2" t="s">
        <v>2094</v>
      </c>
      <c r="G717" s="2" t="s">
        <v>2095</v>
      </c>
      <c r="H717" s="2" t="s">
        <v>2096</v>
      </c>
      <c r="I717" s="2" t="str">
        <f t="shared" si="46"/>
        <v>0.656</v>
      </c>
      <c r="J717" s="2" t="str">
        <f t="shared" si="47"/>
        <v>33.870</v>
      </c>
      <c r="K717" s="2" t="str">
        <f t="shared" si="47"/>
        <v>0.3428</v>
      </c>
      <c r="L717" s="3">
        <v>11.54</v>
      </c>
      <c r="M717">
        <f>((12.72-L717)/12.72)*100</f>
        <v>9.2767295597484392</v>
      </c>
    </row>
    <row r="718" spans="1:13" x14ac:dyDescent="0.35">
      <c r="A718" s="1" t="s">
        <v>33</v>
      </c>
      <c r="B718" t="str">
        <f t="shared" si="45"/>
        <v>R2712</v>
      </c>
      <c r="C718" t="str">
        <f t="shared" si="44"/>
        <v>R</v>
      </c>
      <c r="D718" t="s">
        <v>5</v>
      </c>
      <c r="E718">
        <v>12</v>
      </c>
      <c r="F718" s="2" t="s">
        <v>2097</v>
      </c>
      <c r="G718" s="2" t="s">
        <v>2098</v>
      </c>
      <c r="H718" s="2" t="s">
        <v>2099</v>
      </c>
      <c r="I718" s="2" t="str">
        <f t="shared" si="46"/>
        <v>0.948</v>
      </c>
      <c r="J718" s="2" t="str">
        <f t="shared" si="47"/>
        <v>35.842</v>
      </c>
      <c r="K718" s="2" t="str">
        <f t="shared" si="47"/>
        <v>0.4685</v>
      </c>
      <c r="L718" s="3">
        <v>11.78</v>
      </c>
      <c r="M718">
        <f>((13.02-L718)/13.02)*100</f>
        <v>9.5238095238095255</v>
      </c>
    </row>
    <row r="719" spans="1:13" x14ac:dyDescent="0.35">
      <c r="A719" s="1" t="s">
        <v>34</v>
      </c>
      <c r="B719" t="str">
        <f t="shared" si="45"/>
        <v>R2812</v>
      </c>
      <c r="C719" t="str">
        <f t="shared" si="44"/>
        <v>R</v>
      </c>
      <c r="D719" t="s">
        <v>5</v>
      </c>
      <c r="E719">
        <v>12</v>
      </c>
      <c r="F719" s="2" t="s">
        <v>2100</v>
      </c>
      <c r="G719" s="2" t="s">
        <v>2101</v>
      </c>
      <c r="H719" s="2" t="s">
        <v>2102</v>
      </c>
      <c r="I719" s="2" t="str">
        <f t="shared" si="46"/>
        <v>1.149</v>
      </c>
      <c r="J719" s="2" t="str">
        <f t="shared" si="47"/>
        <v>34.925</v>
      </c>
      <c r="K719" s="2" t="str">
        <f t="shared" si="47"/>
        <v>0.5828</v>
      </c>
      <c r="L719" s="3">
        <v>9.11</v>
      </c>
      <c r="M719">
        <f>((10.13-L719)/10.13)*100</f>
        <v>10.069101678183626</v>
      </c>
    </row>
    <row r="720" spans="1:13" x14ac:dyDescent="0.35">
      <c r="A720" s="1" t="s">
        <v>35</v>
      </c>
      <c r="B720" t="str">
        <f t="shared" si="45"/>
        <v>R2912</v>
      </c>
      <c r="C720" t="str">
        <f t="shared" si="44"/>
        <v>R</v>
      </c>
      <c r="D720" t="s">
        <v>5</v>
      </c>
      <c r="E720">
        <v>12</v>
      </c>
      <c r="F720" s="2" t="s">
        <v>2103</v>
      </c>
      <c r="G720" s="2" t="s">
        <v>2104</v>
      </c>
      <c r="H720" s="2" t="s">
        <v>2105</v>
      </c>
      <c r="I720" s="2" t="str">
        <f t="shared" si="46"/>
        <v>0.845</v>
      </c>
      <c r="J720" s="2" t="str">
        <f t="shared" si="47"/>
        <v>33.255</v>
      </c>
      <c r="K720" s="2" t="str">
        <f t="shared" si="47"/>
        <v>0.4512</v>
      </c>
      <c r="L720" s="3">
        <v>7.04</v>
      </c>
      <c r="M720">
        <f>((8.49-L720)/8.49)*100</f>
        <v>17.078916372202592</v>
      </c>
    </row>
    <row r="721" spans="1:13" x14ac:dyDescent="0.35">
      <c r="A721" s="1" t="s">
        <v>36</v>
      </c>
      <c r="B721" t="str">
        <f t="shared" si="45"/>
        <v>R3012</v>
      </c>
      <c r="C721" t="str">
        <f t="shared" si="44"/>
        <v>R</v>
      </c>
      <c r="D721" t="s">
        <v>5</v>
      </c>
      <c r="E721">
        <v>12</v>
      </c>
      <c r="F721" s="2" t="s">
        <v>2106</v>
      </c>
      <c r="G721" s="2" t="s">
        <v>2107</v>
      </c>
      <c r="H721" s="2" t="s">
        <v>2108</v>
      </c>
      <c r="I721" s="2" t="str">
        <f t="shared" si="46"/>
        <v>0.960</v>
      </c>
      <c r="J721" s="2" t="str">
        <f t="shared" si="47"/>
        <v>30.980</v>
      </c>
      <c r="K721" s="2" t="str">
        <f t="shared" si="47"/>
        <v>0.5486</v>
      </c>
      <c r="L721" s="3">
        <v>6.57</v>
      </c>
      <c r="M721">
        <f>((7.78-L721)/7.78)*100</f>
        <v>15.552699228791772</v>
      </c>
    </row>
    <row r="722" spans="1:13" x14ac:dyDescent="0.35">
      <c r="A722" s="1" t="s">
        <v>7</v>
      </c>
      <c r="B722" t="str">
        <f t="shared" si="45"/>
        <v>C0113</v>
      </c>
      <c r="C722" t="str">
        <f t="shared" si="44"/>
        <v>C</v>
      </c>
      <c r="D722" t="s">
        <v>4</v>
      </c>
      <c r="E722">
        <v>13</v>
      </c>
      <c r="F722" s="2" t="s">
        <v>2275</v>
      </c>
      <c r="G722" s="2" t="s">
        <v>2276</v>
      </c>
      <c r="H722" s="2" t="s">
        <v>2277</v>
      </c>
      <c r="I722" s="2" t="str">
        <f t="shared" si="46"/>
        <v>0.673</v>
      </c>
      <c r="J722" s="2" t="str">
        <f t="shared" si="47"/>
        <v>35.434</v>
      </c>
      <c r="K722" s="2" t="str">
        <f t="shared" si="47"/>
        <v>0.3423</v>
      </c>
      <c r="L722" s="3">
        <v>10.029999999999999</v>
      </c>
      <c r="M722">
        <f>((10.71-L722)/10.71)*100</f>
        <v>6.3492063492063631</v>
      </c>
    </row>
    <row r="723" spans="1:13" x14ac:dyDescent="0.35">
      <c r="A723" s="1" t="s">
        <v>8</v>
      </c>
      <c r="B723" t="str">
        <f t="shared" si="45"/>
        <v>C0213</v>
      </c>
      <c r="C723" t="str">
        <f t="shared" si="44"/>
        <v>C</v>
      </c>
      <c r="D723" t="s">
        <v>4</v>
      </c>
      <c r="E723">
        <v>13</v>
      </c>
      <c r="F723" s="2" t="s">
        <v>2278</v>
      </c>
      <c r="G723" s="2" t="s">
        <v>2279</v>
      </c>
      <c r="H723" s="2" t="s">
        <v>2280</v>
      </c>
      <c r="I723" s="2" t="str">
        <f t="shared" si="46"/>
        <v>0.905</v>
      </c>
      <c r="J723" s="2" t="str">
        <f t="shared" si="47"/>
        <v>34.088</v>
      </c>
      <c r="K723" s="2" t="str">
        <f t="shared" si="47"/>
        <v>0.4722</v>
      </c>
      <c r="L723" s="3">
        <v>10.49</v>
      </c>
      <c r="M723">
        <f>((11.03-L723)/11.03)*100</f>
        <v>4.8957388939256496</v>
      </c>
    </row>
    <row r="724" spans="1:13" x14ac:dyDescent="0.35">
      <c r="A724" s="1" t="s">
        <v>21</v>
      </c>
      <c r="B724" t="str">
        <f t="shared" si="45"/>
        <v>C0313</v>
      </c>
      <c r="C724" t="str">
        <f t="shared" si="44"/>
        <v>C</v>
      </c>
      <c r="D724" t="s">
        <v>4</v>
      </c>
      <c r="E724">
        <v>13</v>
      </c>
      <c r="F724" s="2" t="s">
        <v>2281</v>
      </c>
      <c r="G724" s="2" t="s">
        <v>2282</v>
      </c>
      <c r="H724" s="2" t="s">
        <v>2283</v>
      </c>
      <c r="I724" s="2" t="str">
        <f t="shared" si="46"/>
        <v>0.704</v>
      </c>
      <c r="J724" s="2" t="str">
        <f t="shared" si="47"/>
        <v>33.696</v>
      </c>
      <c r="K724" s="2" t="str">
        <f t="shared" si="47"/>
        <v>0.3683</v>
      </c>
      <c r="L724" s="3">
        <v>8.4700000000000006</v>
      </c>
      <c r="M724">
        <f>((8.99-L724)/8.99)*100</f>
        <v>5.7842046718576148</v>
      </c>
    </row>
    <row r="725" spans="1:13" x14ac:dyDescent="0.35">
      <c r="A725" s="1" t="s">
        <v>9</v>
      </c>
      <c r="B725" t="str">
        <f t="shared" si="45"/>
        <v>C0413</v>
      </c>
      <c r="C725" t="str">
        <f t="shared" si="44"/>
        <v>C</v>
      </c>
      <c r="D725" t="s">
        <v>4</v>
      </c>
      <c r="E725">
        <v>13</v>
      </c>
      <c r="F725" s="2" t="s">
        <v>2284</v>
      </c>
      <c r="G725" s="2" t="s">
        <v>2285</v>
      </c>
      <c r="H725" s="2" t="s">
        <v>2286</v>
      </c>
      <c r="I725" s="2" t="str">
        <f t="shared" si="46"/>
        <v>0.677</v>
      </c>
      <c r="J725" s="2" t="str">
        <f t="shared" si="47"/>
        <v>36.029</v>
      </c>
      <c r="K725" s="2" t="str">
        <f t="shared" si="47"/>
        <v>0.3331</v>
      </c>
      <c r="L725" s="3">
        <v>12.39</v>
      </c>
      <c r="M725">
        <f>((12.82-L725)/12.82)*100</f>
        <v>3.3541341653666121</v>
      </c>
    </row>
    <row r="726" spans="1:13" x14ac:dyDescent="0.35">
      <c r="A726" s="1" t="s">
        <v>10</v>
      </c>
      <c r="B726" t="str">
        <f t="shared" si="45"/>
        <v>C0513</v>
      </c>
      <c r="C726" t="str">
        <f t="shared" si="44"/>
        <v>C</v>
      </c>
      <c r="D726" t="s">
        <v>4</v>
      </c>
      <c r="E726">
        <v>13</v>
      </c>
      <c r="F726" s="2" t="s">
        <v>2287</v>
      </c>
      <c r="G726" s="2" t="s">
        <v>2288</v>
      </c>
      <c r="H726" s="2" t="s">
        <v>2289</v>
      </c>
      <c r="I726" s="2" t="str">
        <f t="shared" si="46"/>
        <v>0.454</v>
      </c>
      <c r="J726" s="2" t="str">
        <f t="shared" si="47"/>
        <v>33.398</v>
      </c>
      <c r="K726" s="2" t="str">
        <f t="shared" si="47"/>
        <v>0.2423</v>
      </c>
      <c r="L726" s="3">
        <v>10.81</v>
      </c>
      <c r="M726">
        <f>((11.24-L726)/11.24)*100</f>
        <v>3.8256227758007091</v>
      </c>
    </row>
    <row r="727" spans="1:13" x14ac:dyDescent="0.35">
      <c r="A727" s="1" t="s">
        <v>11</v>
      </c>
      <c r="B727" t="str">
        <f t="shared" si="45"/>
        <v>C0613</v>
      </c>
      <c r="C727" t="str">
        <f t="shared" si="44"/>
        <v>C</v>
      </c>
      <c r="D727" t="s">
        <v>4</v>
      </c>
      <c r="E727">
        <v>13</v>
      </c>
      <c r="F727" s="2" t="s">
        <v>2290</v>
      </c>
      <c r="G727" s="2" t="s">
        <v>2291</v>
      </c>
      <c r="H727" s="2" t="s">
        <v>2292</v>
      </c>
      <c r="I727" s="2" t="str">
        <f t="shared" si="46"/>
        <v>0.918</v>
      </c>
      <c r="J727" s="2" t="str">
        <f t="shared" si="47"/>
        <v>33.971</v>
      </c>
      <c r="K727" s="2" t="str">
        <f t="shared" si="47"/>
        <v>0.4807</v>
      </c>
      <c r="L727" s="3">
        <v>9</v>
      </c>
      <c r="M727">
        <f>((9.49-L727)/9.49)*100</f>
        <v>5.1633298208640692</v>
      </c>
    </row>
    <row r="728" spans="1:13" x14ac:dyDescent="0.35">
      <c r="A728" s="1" t="s">
        <v>12</v>
      </c>
      <c r="B728" t="str">
        <f t="shared" si="45"/>
        <v>C0713</v>
      </c>
      <c r="C728" t="str">
        <f t="shared" si="44"/>
        <v>C</v>
      </c>
      <c r="D728" t="s">
        <v>4</v>
      </c>
      <c r="E728">
        <v>13</v>
      </c>
      <c r="F728" s="2" t="s">
        <v>2293</v>
      </c>
      <c r="G728" s="2" t="s">
        <v>2294</v>
      </c>
      <c r="H728" s="2" t="s">
        <v>2295</v>
      </c>
      <c r="I728" s="2" t="str">
        <f t="shared" si="46"/>
        <v>1.197</v>
      </c>
      <c r="J728" s="2" t="str">
        <f t="shared" si="47"/>
        <v>38.410</v>
      </c>
      <c r="K728" s="2" t="str">
        <f t="shared" si="47"/>
        <v>0.5515</v>
      </c>
      <c r="L728" s="3">
        <v>11.85</v>
      </c>
      <c r="M728">
        <f>((12.19-L728)/12.19)*100</f>
        <v>2.789171452009843</v>
      </c>
    </row>
    <row r="729" spans="1:13" x14ac:dyDescent="0.35">
      <c r="A729" s="1" t="s">
        <v>13</v>
      </c>
      <c r="B729" t="str">
        <f t="shared" si="45"/>
        <v>C0813</v>
      </c>
      <c r="C729" t="str">
        <f t="shared" si="44"/>
        <v>C</v>
      </c>
      <c r="D729" t="s">
        <v>4</v>
      </c>
      <c r="E729">
        <v>13</v>
      </c>
      <c r="F729" s="2" t="s">
        <v>2296</v>
      </c>
      <c r="G729" s="2" t="s">
        <v>2297</v>
      </c>
      <c r="H729" s="2" t="s">
        <v>2298</v>
      </c>
      <c r="I729" s="2" t="str">
        <f t="shared" si="46"/>
        <v>0.543</v>
      </c>
      <c r="J729" s="2" t="str">
        <f t="shared" si="47"/>
        <v>34.690</v>
      </c>
      <c r="K729" s="2" t="str">
        <f t="shared" si="47"/>
        <v>0.2774</v>
      </c>
      <c r="L729" s="3">
        <v>8.6199999999999992</v>
      </c>
      <c r="M729">
        <f>((9.02-L729)/9.02)*100</f>
        <v>4.4345898004434625</v>
      </c>
    </row>
    <row r="730" spans="1:13" x14ac:dyDescent="0.35">
      <c r="A730" s="1" t="s">
        <v>14</v>
      </c>
      <c r="B730" t="str">
        <f t="shared" si="45"/>
        <v>C0913</v>
      </c>
      <c r="C730" t="str">
        <f t="shared" si="44"/>
        <v>C</v>
      </c>
      <c r="D730" t="s">
        <v>4</v>
      </c>
      <c r="E730">
        <v>13</v>
      </c>
      <c r="F730" s="2" t="s">
        <v>2299</v>
      </c>
      <c r="G730" s="2" t="s">
        <v>2300</v>
      </c>
      <c r="H730" s="2" t="s">
        <v>2301</v>
      </c>
      <c r="I730" s="2" t="str">
        <f t="shared" si="46"/>
        <v>0.448</v>
      </c>
      <c r="J730" s="2" t="str">
        <f t="shared" si="47"/>
        <v>34.609</v>
      </c>
      <c r="K730" s="2" t="str">
        <f t="shared" si="47"/>
        <v>0.2292</v>
      </c>
      <c r="L730" s="3">
        <v>8.33</v>
      </c>
      <c r="M730">
        <f>((8.66-L730)/8.66)*100</f>
        <v>3.8106235565819873</v>
      </c>
    </row>
    <row r="731" spans="1:13" x14ac:dyDescent="0.35">
      <c r="A731" s="1" t="s">
        <v>15</v>
      </c>
      <c r="B731" t="str">
        <f t="shared" si="45"/>
        <v>C1013</v>
      </c>
      <c r="C731" t="str">
        <f t="shared" si="44"/>
        <v>C</v>
      </c>
      <c r="D731" t="s">
        <v>4</v>
      </c>
      <c r="E731">
        <v>13</v>
      </c>
      <c r="F731" s="2" t="s">
        <v>2302</v>
      </c>
      <c r="G731" s="2" t="s">
        <v>2303</v>
      </c>
      <c r="H731" s="2" t="s">
        <v>2304</v>
      </c>
      <c r="I731" s="2" t="str">
        <f t="shared" si="46"/>
        <v>0.650</v>
      </c>
      <c r="J731" s="2" t="str">
        <f t="shared" si="47"/>
        <v>32.846</v>
      </c>
      <c r="K731" s="2" t="str">
        <f t="shared" si="47"/>
        <v>0.3538</v>
      </c>
      <c r="L731" s="3">
        <v>12.24</v>
      </c>
      <c r="M731">
        <f>((12.87-L731)/12.87)*100</f>
        <v>4.8951048951048879</v>
      </c>
    </row>
    <row r="732" spans="1:13" x14ac:dyDescent="0.35">
      <c r="A732" s="1" t="s">
        <v>16</v>
      </c>
      <c r="B732" t="str">
        <f t="shared" si="45"/>
        <v>C1113</v>
      </c>
      <c r="C732" t="str">
        <f t="shared" si="44"/>
        <v>C</v>
      </c>
      <c r="D732" t="s">
        <v>4</v>
      </c>
      <c r="E732">
        <v>13</v>
      </c>
      <c r="F732" s="2" t="s">
        <v>2305</v>
      </c>
      <c r="G732" s="2" t="s">
        <v>2306</v>
      </c>
      <c r="H732" s="2" t="s">
        <v>2307</v>
      </c>
      <c r="I732" s="2" t="str">
        <f t="shared" si="46"/>
        <v>1.108</v>
      </c>
      <c r="J732" s="2" t="str">
        <f t="shared" si="47"/>
        <v>34.874</v>
      </c>
      <c r="K732" s="2" t="str">
        <f t="shared" si="47"/>
        <v>0.5628</v>
      </c>
      <c r="L732" s="3">
        <v>7.72</v>
      </c>
      <c r="M732">
        <f>((8.02-L732)/8.02)*100</f>
        <v>3.740648379052367</v>
      </c>
    </row>
    <row r="733" spans="1:13" x14ac:dyDescent="0.35">
      <c r="A733" s="1" t="s">
        <v>17</v>
      </c>
      <c r="B733" t="str">
        <f t="shared" si="45"/>
        <v>C1213</v>
      </c>
      <c r="C733" t="str">
        <f t="shared" si="44"/>
        <v>C</v>
      </c>
      <c r="D733" t="s">
        <v>4</v>
      </c>
      <c r="E733">
        <v>13</v>
      </c>
      <c r="F733" s="2" t="s">
        <v>2308</v>
      </c>
      <c r="G733" s="2" t="s">
        <v>2309</v>
      </c>
      <c r="H733" s="2" t="s">
        <v>2310</v>
      </c>
      <c r="I733" s="2" t="str">
        <f t="shared" si="46"/>
        <v>0.485</v>
      </c>
      <c r="J733" s="2" t="str">
        <f t="shared" si="47"/>
        <v>37.111</v>
      </c>
      <c r="K733" s="2" t="str">
        <f t="shared" si="47"/>
        <v>0.2318</v>
      </c>
      <c r="L733" s="3">
        <v>8.68</v>
      </c>
      <c r="M733">
        <f>((9.02-L733)/9.02)*100</f>
        <v>3.7694013303769389</v>
      </c>
    </row>
    <row r="734" spans="1:13" x14ac:dyDescent="0.35">
      <c r="A734" s="1" t="s">
        <v>18</v>
      </c>
      <c r="B734" t="str">
        <f t="shared" si="45"/>
        <v>C1313</v>
      </c>
      <c r="C734" t="str">
        <f t="shared" si="44"/>
        <v>C</v>
      </c>
      <c r="D734" t="s">
        <v>4</v>
      </c>
      <c r="E734">
        <v>13</v>
      </c>
      <c r="F734" s="2" t="s">
        <v>2311</v>
      </c>
      <c r="G734" s="2" t="s">
        <v>2312</v>
      </c>
      <c r="H734" s="2" t="s">
        <v>2313</v>
      </c>
      <c r="I734" s="2" t="str">
        <f t="shared" si="46"/>
        <v>0.525</v>
      </c>
      <c r="J734" s="2" t="str">
        <f t="shared" si="47"/>
        <v>36.472</v>
      </c>
      <c r="K734" s="2" t="str">
        <f t="shared" si="47"/>
        <v>0.2553</v>
      </c>
      <c r="L734" s="3">
        <v>10.15</v>
      </c>
      <c r="M734">
        <f>((10.68-L734)/10.68)*100</f>
        <v>4.9625468164793949</v>
      </c>
    </row>
    <row r="735" spans="1:13" x14ac:dyDescent="0.35">
      <c r="A735" s="1" t="s">
        <v>19</v>
      </c>
      <c r="B735" t="str">
        <f t="shared" si="45"/>
        <v>C1413</v>
      </c>
      <c r="C735" t="str">
        <f t="shared" si="44"/>
        <v>C</v>
      </c>
      <c r="D735" t="s">
        <v>4</v>
      </c>
      <c r="E735">
        <v>13</v>
      </c>
      <c r="F735" s="2" t="s">
        <v>2314</v>
      </c>
      <c r="G735" s="2" t="s">
        <v>2315</v>
      </c>
      <c r="H735" s="2" t="s">
        <v>2316</v>
      </c>
      <c r="I735" s="2" t="str">
        <f t="shared" si="46"/>
        <v>0.547</v>
      </c>
      <c r="J735" s="2" t="str">
        <f t="shared" si="47"/>
        <v>35.284</v>
      </c>
      <c r="K735" s="2" t="str">
        <f t="shared" si="47"/>
        <v>0.2750</v>
      </c>
      <c r="L735" s="3">
        <v>8.8800000000000008</v>
      </c>
      <c r="M735">
        <f>((9.31-L735)/9.31)*100</f>
        <v>4.6186895810955928</v>
      </c>
    </row>
    <row r="736" spans="1:13" x14ac:dyDescent="0.35">
      <c r="A736" s="1" t="s">
        <v>20</v>
      </c>
      <c r="B736" t="str">
        <f t="shared" si="45"/>
        <v>C1513</v>
      </c>
      <c r="C736" t="str">
        <f t="shared" si="44"/>
        <v>C</v>
      </c>
      <c r="D736" t="s">
        <v>4</v>
      </c>
      <c r="E736">
        <v>13</v>
      </c>
      <c r="F736" s="2" t="s">
        <v>2317</v>
      </c>
      <c r="G736" s="2" t="s">
        <v>2318</v>
      </c>
      <c r="H736" s="2" t="s">
        <v>2319</v>
      </c>
      <c r="I736" s="2" t="str">
        <f t="shared" si="46"/>
        <v>0.886</v>
      </c>
      <c r="J736" s="2" t="str">
        <f t="shared" si="47"/>
        <v>36.593</v>
      </c>
      <c r="K736" s="2" t="str">
        <f t="shared" si="47"/>
        <v>0.4290</v>
      </c>
      <c r="L736" s="3">
        <v>12.49</v>
      </c>
      <c r="M736">
        <f>((12.96-L736)/12.96)*100</f>
        <v>3.626543209876548</v>
      </c>
    </row>
    <row r="737" spans="1:13" x14ac:dyDescent="0.35">
      <c r="A737" s="1" t="s">
        <v>22</v>
      </c>
      <c r="B737" t="str">
        <f t="shared" si="45"/>
        <v>C1613</v>
      </c>
      <c r="C737" t="str">
        <f t="shared" si="44"/>
        <v>C</v>
      </c>
      <c r="D737" t="s">
        <v>4</v>
      </c>
      <c r="E737">
        <v>13</v>
      </c>
      <c r="F737" s="2" t="s">
        <v>2320</v>
      </c>
      <c r="G737" s="2" t="s">
        <v>2321</v>
      </c>
      <c r="H737" s="2" t="s">
        <v>2322</v>
      </c>
      <c r="I737" s="2" t="str">
        <f t="shared" si="46"/>
        <v>1.097</v>
      </c>
      <c r="J737" s="2" t="str">
        <f t="shared" si="47"/>
        <v>34.439</v>
      </c>
      <c r="K737" s="2" t="str">
        <f t="shared" si="47"/>
        <v>0.5645</v>
      </c>
      <c r="L737" s="3">
        <v>12.51</v>
      </c>
      <c r="M737">
        <f>((13.01-L737)/13.01)*100</f>
        <v>3.8431975403535739</v>
      </c>
    </row>
    <row r="738" spans="1:13" x14ac:dyDescent="0.35">
      <c r="A738" s="1" t="s">
        <v>23</v>
      </c>
      <c r="B738" t="str">
        <f t="shared" si="45"/>
        <v>C1713</v>
      </c>
      <c r="C738" t="str">
        <f t="shared" si="44"/>
        <v>C</v>
      </c>
      <c r="D738" t="s">
        <v>4</v>
      </c>
      <c r="E738">
        <v>13</v>
      </c>
      <c r="F738" s="2" t="s">
        <v>2323</v>
      </c>
      <c r="G738" s="2" t="s">
        <v>2324</v>
      </c>
      <c r="H738" s="2" t="s">
        <v>2325</v>
      </c>
      <c r="I738" s="2" t="str">
        <f t="shared" si="46"/>
        <v>0.785</v>
      </c>
      <c r="J738" s="2" t="str">
        <f t="shared" si="47"/>
        <v>36.579</v>
      </c>
      <c r="K738" s="2" t="str">
        <f t="shared" si="47"/>
        <v>0.3825</v>
      </c>
      <c r="L738" s="3">
        <v>7.96</v>
      </c>
      <c r="M738">
        <f>((8.28-L738)/8.28)*100</f>
        <v>3.864734299516901</v>
      </c>
    </row>
    <row r="739" spans="1:13" x14ac:dyDescent="0.35">
      <c r="A739" s="1" t="s">
        <v>24</v>
      </c>
      <c r="B739" t="str">
        <f t="shared" si="45"/>
        <v>C1813</v>
      </c>
      <c r="C739" t="str">
        <f t="shared" si="44"/>
        <v>C</v>
      </c>
      <c r="D739" t="s">
        <v>4</v>
      </c>
      <c r="E739">
        <v>13</v>
      </c>
      <c r="F739" s="2" t="s">
        <v>2326</v>
      </c>
      <c r="G739" s="2" t="s">
        <v>2327</v>
      </c>
      <c r="H739" s="2" t="s">
        <v>2328</v>
      </c>
      <c r="I739" s="2" t="str">
        <f t="shared" si="46"/>
        <v>0.820</v>
      </c>
      <c r="J739" s="2" t="str">
        <f t="shared" si="47"/>
        <v>32.460</v>
      </c>
      <c r="K739" s="2" t="str">
        <f t="shared" si="47"/>
        <v>0.4483</v>
      </c>
      <c r="L739" s="3">
        <v>8.2100000000000009</v>
      </c>
      <c r="M739">
        <f>((8.57-L739)/8.57)*100</f>
        <v>4.2007001166861073</v>
      </c>
    </row>
    <row r="740" spans="1:13" x14ac:dyDescent="0.35">
      <c r="A740" s="1" t="s">
        <v>25</v>
      </c>
      <c r="B740" t="str">
        <f t="shared" si="45"/>
        <v>C1913</v>
      </c>
      <c r="C740" t="str">
        <f t="shared" si="44"/>
        <v>C</v>
      </c>
      <c r="D740" t="s">
        <v>4</v>
      </c>
      <c r="E740">
        <v>13</v>
      </c>
      <c r="F740" s="2" t="s">
        <v>2329</v>
      </c>
      <c r="G740" s="2" t="s">
        <v>2330</v>
      </c>
      <c r="H740" s="2" t="s">
        <v>2331</v>
      </c>
      <c r="I740" s="2" t="str">
        <f t="shared" si="46"/>
        <v>0.513</v>
      </c>
      <c r="J740" s="2" t="str">
        <f t="shared" si="47"/>
        <v>35.499</v>
      </c>
      <c r="K740" s="2" t="str">
        <f t="shared" si="47"/>
        <v>0.2557</v>
      </c>
      <c r="L740" s="3">
        <v>8.5</v>
      </c>
      <c r="M740">
        <f>((8.79-L740)/8.79)*100</f>
        <v>3.2992036405005596</v>
      </c>
    </row>
    <row r="741" spans="1:13" x14ac:dyDescent="0.35">
      <c r="A741" s="1" t="s">
        <v>26</v>
      </c>
      <c r="B741" t="str">
        <f t="shared" si="45"/>
        <v>C2013</v>
      </c>
      <c r="C741" t="str">
        <f t="shared" si="44"/>
        <v>C</v>
      </c>
      <c r="D741" t="s">
        <v>4</v>
      </c>
      <c r="E741">
        <v>13</v>
      </c>
      <c r="F741" s="2" t="s">
        <v>2332</v>
      </c>
      <c r="G741" s="2" t="s">
        <v>2333</v>
      </c>
      <c r="H741" s="2" t="s">
        <v>2334</v>
      </c>
      <c r="I741" s="2" t="str">
        <f t="shared" si="46"/>
        <v>1.174</v>
      </c>
      <c r="J741" s="2" t="str">
        <f t="shared" si="47"/>
        <v>35.514</v>
      </c>
      <c r="K741" s="2" t="str">
        <f t="shared" si="47"/>
        <v>0.5858</v>
      </c>
      <c r="L741" s="3">
        <v>8.25</v>
      </c>
      <c r="M741">
        <f>((8.56-L741)/8.56)*100</f>
        <v>3.6214953271028092</v>
      </c>
    </row>
    <row r="742" spans="1:13" x14ac:dyDescent="0.35">
      <c r="A742" s="1" t="s">
        <v>27</v>
      </c>
      <c r="B742" t="str">
        <f t="shared" si="45"/>
        <v>C2113</v>
      </c>
      <c r="C742" t="str">
        <f t="shared" si="44"/>
        <v>C</v>
      </c>
      <c r="D742" t="s">
        <v>4</v>
      </c>
      <c r="E742">
        <v>13</v>
      </c>
      <c r="F742" s="2" t="s">
        <v>2335</v>
      </c>
      <c r="G742" s="2" t="s">
        <v>2336</v>
      </c>
      <c r="H742" s="2" t="s">
        <v>2337</v>
      </c>
      <c r="I742" s="2" t="str">
        <f t="shared" si="46"/>
        <v>1.168</v>
      </c>
      <c r="J742" s="2" t="str">
        <f t="shared" si="47"/>
        <v>36.360</v>
      </c>
      <c r="K742" s="2" t="str">
        <f t="shared" si="47"/>
        <v>0.5688</v>
      </c>
      <c r="L742" s="3">
        <v>11.29</v>
      </c>
      <c r="M742">
        <f>((11.72-L742)/11.72)*100</f>
        <v>3.6689419795221965</v>
      </c>
    </row>
    <row r="743" spans="1:13" x14ac:dyDescent="0.35">
      <c r="A743" s="1" t="s">
        <v>28</v>
      </c>
      <c r="B743" t="str">
        <f t="shared" si="45"/>
        <v>C2213</v>
      </c>
      <c r="C743" t="str">
        <f t="shared" si="44"/>
        <v>C</v>
      </c>
      <c r="D743" t="s">
        <v>4</v>
      </c>
      <c r="E743">
        <v>13</v>
      </c>
      <c r="F743" s="2" t="s">
        <v>2338</v>
      </c>
      <c r="G743" s="2" t="s">
        <v>2339</v>
      </c>
      <c r="H743" s="2" t="s">
        <v>2340</v>
      </c>
      <c r="I743" s="2" t="str">
        <f t="shared" si="46"/>
        <v>0.996</v>
      </c>
      <c r="J743" s="2" t="str">
        <f t="shared" si="47"/>
        <v>37.737</v>
      </c>
      <c r="K743" s="2" t="str">
        <f t="shared" si="47"/>
        <v>0.4693</v>
      </c>
      <c r="L743" s="3">
        <v>9.69</v>
      </c>
      <c r="M743">
        <f>((10.19-L743)/10.19)*100</f>
        <v>4.9067713444553487</v>
      </c>
    </row>
    <row r="744" spans="1:13" x14ac:dyDescent="0.35">
      <c r="A744" s="1" t="s">
        <v>29</v>
      </c>
      <c r="B744" t="str">
        <f t="shared" si="45"/>
        <v>C2313</v>
      </c>
      <c r="C744" t="str">
        <f t="shared" si="44"/>
        <v>C</v>
      </c>
      <c r="D744" t="s">
        <v>4</v>
      </c>
      <c r="E744">
        <v>13</v>
      </c>
      <c r="F744" s="2" t="s">
        <v>2341</v>
      </c>
      <c r="G744" s="2" t="s">
        <v>2342</v>
      </c>
      <c r="H744" s="2" t="s">
        <v>2343</v>
      </c>
      <c r="I744" s="2" t="str">
        <f t="shared" si="46"/>
        <v>1.126</v>
      </c>
      <c r="J744" s="2" t="str">
        <f t="shared" si="47"/>
        <v>34.852</v>
      </c>
      <c r="K744" s="2" t="str">
        <f t="shared" si="47"/>
        <v>0.5722</v>
      </c>
      <c r="L744" s="3">
        <v>6.28</v>
      </c>
      <c r="M744">
        <f>((6.69-L744)/6.69)*100</f>
        <v>6.1285500747384178</v>
      </c>
    </row>
    <row r="745" spans="1:13" x14ac:dyDescent="0.35">
      <c r="A745" s="1" t="s">
        <v>30</v>
      </c>
      <c r="B745" t="str">
        <f t="shared" si="45"/>
        <v>C2413</v>
      </c>
      <c r="C745" t="str">
        <f t="shared" si="44"/>
        <v>C</v>
      </c>
      <c r="D745" t="s">
        <v>4</v>
      </c>
      <c r="E745">
        <v>13</v>
      </c>
      <c r="F745" s="2" t="s">
        <v>2344</v>
      </c>
      <c r="G745" s="2" t="s">
        <v>2345</v>
      </c>
      <c r="H745" s="2" t="s">
        <v>2346</v>
      </c>
      <c r="I745" s="2" t="str">
        <f t="shared" si="46"/>
        <v>0.554</v>
      </c>
      <c r="J745" s="2" t="str">
        <f t="shared" si="47"/>
        <v>31.931</v>
      </c>
      <c r="K745" s="2" t="str">
        <f t="shared" si="47"/>
        <v>0.3063</v>
      </c>
      <c r="L745" s="3">
        <v>6.38</v>
      </c>
      <c r="M745">
        <f>((6.98-L745)/6.98)*100</f>
        <v>8.5959885386819561</v>
      </c>
    </row>
    <row r="746" spans="1:13" x14ac:dyDescent="0.35">
      <c r="A746" s="1" t="s">
        <v>31</v>
      </c>
      <c r="B746" t="str">
        <f t="shared" si="45"/>
        <v>C2513</v>
      </c>
      <c r="C746" t="str">
        <f t="shared" si="44"/>
        <v>C</v>
      </c>
      <c r="D746" t="s">
        <v>4</v>
      </c>
      <c r="E746">
        <v>13</v>
      </c>
      <c r="F746" s="2" t="s">
        <v>2347</v>
      </c>
      <c r="G746" s="2" t="s">
        <v>2348</v>
      </c>
      <c r="H746" s="2" t="s">
        <v>2349</v>
      </c>
      <c r="I746" s="2" t="str">
        <f t="shared" si="46"/>
        <v>0.878</v>
      </c>
      <c r="J746" s="2" t="str">
        <f t="shared" si="47"/>
        <v>39.247</v>
      </c>
      <c r="K746" s="2" t="str">
        <f t="shared" si="47"/>
        <v>0.3970</v>
      </c>
      <c r="L746" s="3">
        <v>11.36</v>
      </c>
      <c r="M746">
        <f>((11.74-L746)/11.74)*100</f>
        <v>3.2367972742759861</v>
      </c>
    </row>
    <row r="747" spans="1:13" x14ac:dyDescent="0.35">
      <c r="A747" s="1" t="s">
        <v>32</v>
      </c>
      <c r="B747" t="str">
        <f t="shared" si="45"/>
        <v>C2613</v>
      </c>
      <c r="C747" t="str">
        <f t="shared" si="44"/>
        <v>C</v>
      </c>
      <c r="D747" t="s">
        <v>4</v>
      </c>
      <c r="E747">
        <v>13</v>
      </c>
      <c r="F747" s="2" t="s">
        <v>2350</v>
      </c>
      <c r="G747" s="2" t="s">
        <v>2351</v>
      </c>
      <c r="H747" s="2" t="s">
        <v>2352</v>
      </c>
      <c r="I747" s="2" t="str">
        <f t="shared" si="46"/>
        <v>0.723</v>
      </c>
      <c r="J747" s="2" t="str">
        <f t="shared" si="47"/>
        <v>33.916</v>
      </c>
      <c r="K747" s="2" t="str">
        <f t="shared" si="47"/>
        <v>0.3773</v>
      </c>
      <c r="L747" s="3">
        <v>6.48</v>
      </c>
      <c r="M747">
        <f>((6.81-L747)/6.81)*100</f>
        <v>4.8458149779735571</v>
      </c>
    </row>
    <row r="748" spans="1:13" x14ac:dyDescent="0.35">
      <c r="A748" s="1" t="s">
        <v>33</v>
      </c>
      <c r="B748" t="str">
        <f t="shared" si="45"/>
        <v>C2713</v>
      </c>
      <c r="C748" t="str">
        <f t="shared" si="44"/>
        <v>C</v>
      </c>
      <c r="D748" t="s">
        <v>4</v>
      </c>
      <c r="E748">
        <v>13</v>
      </c>
      <c r="F748" s="2" t="s">
        <v>2353</v>
      </c>
      <c r="G748" s="2" t="s">
        <v>2354</v>
      </c>
      <c r="H748" s="2" t="s">
        <v>2355</v>
      </c>
      <c r="I748" s="2" t="str">
        <f t="shared" si="46"/>
        <v>0.635</v>
      </c>
      <c r="J748" s="2" t="str">
        <f t="shared" si="47"/>
        <v>35.438</v>
      </c>
      <c r="K748" s="2" t="str">
        <f t="shared" si="47"/>
        <v>0.3179</v>
      </c>
      <c r="L748" s="3">
        <v>12.81</v>
      </c>
      <c r="M748">
        <f>((13.23-L748)/13.23)*100</f>
        <v>3.1746031746031735</v>
      </c>
    </row>
    <row r="749" spans="1:13" x14ac:dyDescent="0.35">
      <c r="A749" s="1" t="s">
        <v>34</v>
      </c>
      <c r="B749" t="str">
        <f t="shared" si="45"/>
        <v>C2813</v>
      </c>
      <c r="C749" t="str">
        <f t="shared" si="44"/>
        <v>C</v>
      </c>
      <c r="D749" t="s">
        <v>4</v>
      </c>
      <c r="E749">
        <v>13</v>
      </c>
      <c r="F749" s="2" t="s">
        <v>2356</v>
      </c>
      <c r="G749" s="2" t="s">
        <v>2357</v>
      </c>
      <c r="H749" s="2" t="s">
        <v>2358</v>
      </c>
      <c r="I749" s="2" t="str">
        <f t="shared" si="46"/>
        <v>0.505</v>
      </c>
      <c r="J749" s="2" t="str">
        <f t="shared" si="47"/>
        <v>34.694</v>
      </c>
      <c r="K749" s="2" t="str">
        <f t="shared" si="47"/>
        <v>0.2583</v>
      </c>
      <c r="L749" s="3">
        <v>10.18</v>
      </c>
      <c r="M749">
        <f>((10.74-L749)/10.74)*100</f>
        <v>5.214152700186224</v>
      </c>
    </row>
    <row r="750" spans="1:13" x14ac:dyDescent="0.35">
      <c r="A750" s="1" t="s">
        <v>35</v>
      </c>
      <c r="B750" t="str">
        <f t="shared" si="45"/>
        <v>C2913</v>
      </c>
      <c r="C750" t="str">
        <f t="shared" si="44"/>
        <v>C</v>
      </c>
      <c r="D750" t="s">
        <v>4</v>
      </c>
      <c r="E750">
        <v>13</v>
      </c>
      <c r="F750" s="2" t="s">
        <v>2359</v>
      </c>
      <c r="G750" s="2" t="s">
        <v>2360</v>
      </c>
      <c r="H750" s="2" t="s">
        <v>2361</v>
      </c>
      <c r="I750" s="2" t="str">
        <f t="shared" si="46"/>
        <v>1.069</v>
      </c>
      <c r="J750" s="2" t="str">
        <f t="shared" si="47"/>
        <v>36.682</v>
      </c>
      <c r="K750" s="2" t="str">
        <f t="shared" si="47"/>
        <v>0.5176</v>
      </c>
      <c r="L750" s="3">
        <v>11.24</v>
      </c>
      <c r="M750">
        <f>((11.59-L750)/11.59)*100</f>
        <v>3.0198446937014638</v>
      </c>
    </row>
    <row r="751" spans="1:13" x14ac:dyDescent="0.35">
      <c r="A751" s="1" t="s">
        <v>36</v>
      </c>
      <c r="B751" t="str">
        <f t="shared" si="45"/>
        <v>C3013</v>
      </c>
      <c r="C751" t="str">
        <f t="shared" si="44"/>
        <v>C</v>
      </c>
      <c r="D751" t="s">
        <v>4</v>
      </c>
      <c r="E751">
        <v>13</v>
      </c>
      <c r="F751" s="2" t="s">
        <v>2362</v>
      </c>
      <c r="G751" s="2" t="s">
        <v>2363</v>
      </c>
      <c r="H751" s="2" t="s">
        <v>2364</v>
      </c>
      <c r="I751" s="2" t="str">
        <f t="shared" si="46"/>
        <v>1.111</v>
      </c>
      <c r="J751" s="2" t="str">
        <f t="shared" si="47"/>
        <v>37.843</v>
      </c>
      <c r="K751" s="2" t="str">
        <f t="shared" si="47"/>
        <v>0.5195</v>
      </c>
      <c r="L751" s="3">
        <v>8.98</v>
      </c>
      <c r="M751">
        <f>((9.38-L751)/9.38)*100</f>
        <v>4.2643923240938202</v>
      </c>
    </row>
    <row r="752" spans="1:13" x14ac:dyDescent="0.35">
      <c r="A752" s="1" t="s">
        <v>7</v>
      </c>
      <c r="B752" t="str">
        <f t="shared" si="45"/>
        <v>R0113</v>
      </c>
      <c r="C752" t="str">
        <f t="shared" si="44"/>
        <v>R</v>
      </c>
      <c r="D752" t="s">
        <v>5</v>
      </c>
      <c r="E752">
        <v>13</v>
      </c>
      <c r="F752" s="2" t="s">
        <v>2198</v>
      </c>
      <c r="G752" s="2" t="s">
        <v>2199</v>
      </c>
      <c r="H752" s="2" t="s">
        <v>2200</v>
      </c>
      <c r="I752" s="2" t="str">
        <f t="shared" si="46"/>
        <v>0.753</v>
      </c>
      <c r="J752" s="2" t="str">
        <f t="shared" si="47"/>
        <v>34.474</v>
      </c>
      <c r="K752" s="2" t="str">
        <f t="shared" si="47"/>
        <v>0.3863</v>
      </c>
      <c r="L752" s="3">
        <v>8.83</v>
      </c>
      <c r="M752">
        <f>((10.2-L752)/10.2)*100</f>
        <v>13.431372549019601</v>
      </c>
    </row>
    <row r="753" spans="1:13" x14ac:dyDescent="0.35">
      <c r="A753" s="1" t="s">
        <v>8</v>
      </c>
      <c r="B753" t="str">
        <f t="shared" si="45"/>
        <v>R0213</v>
      </c>
      <c r="C753" t="str">
        <f t="shared" si="44"/>
        <v>R</v>
      </c>
      <c r="D753" t="s">
        <v>5</v>
      </c>
      <c r="E753">
        <v>13</v>
      </c>
      <c r="F753" s="2" t="s">
        <v>2201</v>
      </c>
      <c r="G753" s="2" t="s">
        <v>2202</v>
      </c>
      <c r="H753" s="2" t="s">
        <v>2203</v>
      </c>
      <c r="I753" s="2" t="str">
        <f t="shared" si="46"/>
        <v>0.708</v>
      </c>
      <c r="J753" s="2" t="str">
        <f t="shared" si="47"/>
        <v>32.544</v>
      </c>
      <c r="K753" s="2" t="str">
        <f t="shared" si="47"/>
        <v>0.3855</v>
      </c>
      <c r="L753" s="3">
        <v>7.82</v>
      </c>
      <c r="M753">
        <f>((8.9-L753)/8.9)*100</f>
        <v>12.134831460674157</v>
      </c>
    </row>
    <row r="754" spans="1:13" x14ac:dyDescent="0.35">
      <c r="A754" s="1" t="s">
        <v>21</v>
      </c>
      <c r="B754" t="str">
        <f t="shared" si="45"/>
        <v>R0313</v>
      </c>
      <c r="C754" t="str">
        <f t="shared" si="44"/>
        <v>R</v>
      </c>
      <c r="D754" t="s">
        <v>5</v>
      </c>
      <c r="E754">
        <v>13</v>
      </c>
      <c r="F754" s="2" t="s">
        <v>2204</v>
      </c>
      <c r="G754" s="2" t="s">
        <v>2205</v>
      </c>
      <c r="H754" s="2" t="s">
        <v>2206</v>
      </c>
      <c r="I754" s="2" t="str">
        <f t="shared" si="46"/>
        <v>0.638</v>
      </c>
      <c r="J754" s="2" t="str">
        <f t="shared" si="47"/>
        <v>33.176</v>
      </c>
      <c r="K754" s="2" t="str">
        <f t="shared" si="47"/>
        <v>0.3402</v>
      </c>
      <c r="L754" s="3">
        <v>6.74</v>
      </c>
      <c r="M754">
        <f>((7.72-L754)/7.72)*100</f>
        <v>12.69430051813471</v>
      </c>
    </row>
    <row r="755" spans="1:13" x14ac:dyDescent="0.35">
      <c r="A755" s="1" t="s">
        <v>9</v>
      </c>
      <c r="B755" t="str">
        <f t="shared" si="45"/>
        <v>R0413</v>
      </c>
      <c r="C755" t="str">
        <f t="shared" si="44"/>
        <v>R</v>
      </c>
      <c r="D755" t="s">
        <v>5</v>
      </c>
      <c r="E755">
        <v>13</v>
      </c>
      <c r="F755" s="2" t="s">
        <v>2207</v>
      </c>
      <c r="G755" s="2" t="s">
        <v>2208</v>
      </c>
      <c r="H755" s="2" t="s">
        <v>2209</v>
      </c>
      <c r="I755" s="2" t="str">
        <f t="shared" si="46"/>
        <v>0.739</v>
      </c>
      <c r="J755" s="2" t="str">
        <f t="shared" si="47"/>
        <v>32.459</v>
      </c>
      <c r="K755" s="2" t="str">
        <f t="shared" si="47"/>
        <v>0.4028</v>
      </c>
      <c r="L755" s="3">
        <v>5.71</v>
      </c>
      <c r="M755">
        <f>((6.71-L755)/6.71)*100</f>
        <v>14.903129657228018</v>
      </c>
    </row>
    <row r="756" spans="1:13" x14ac:dyDescent="0.35">
      <c r="A756" s="1" t="s">
        <v>10</v>
      </c>
      <c r="B756" t="str">
        <f t="shared" si="45"/>
        <v>R0513</v>
      </c>
      <c r="C756" t="str">
        <f t="shared" si="44"/>
        <v>R</v>
      </c>
      <c r="D756" t="s">
        <v>5</v>
      </c>
      <c r="E756">
        <v>13</v>
      </c>
      <c r="F756" s="2" t="s">
        <v>2210</v>
      </c>
      <c r="G756" s="2" t="s">
        <v>2211</v>
      </c>
      <c r="H756" s="2" t="s">
        <v>2212</v>
      </c>
      <c r="I756" s="2" t="str">
        <f t="shared" si="46"/>
        <v>0.966</v>
      </c>
      <c r="J756" s="2" t="str">
        <f t="shared" si="47"/>
        <v>32.604</v>
      </c>
      <c r="K756" s="2" t="str">
        <f t="shared" si="47"/>
        <v>0.5330</v>
      </c>
      <c r="L756" s="3">
        <v>6.48</v>
      </c>
      <c r="M756">
        <f>((7.58-L756)/7.58)*100</f>
        <v>14.51187335092348</v>
      </c>
    </row>
    <row r="757" spans="1:13" x14ac:dyDescent="0.35">
      <c r="A757" s="1" t="s">
        <v>11</v>
      </c>
      <c r="B757" t="str">
        <f t="shared" si="45"/>
        <v>R0613</v>
      </c>
      <c r="C757" t="str">
        <f t="shared" si="44"/>
        <v>R</v>
      </c>
      <c r="D757" t="s">
        <v>5</v>
      </c>
      <c r="E757">
        <v>13</v>
      </c>
      <c r="F757" s="2" t="s">
        <v>2213</v>
      </c>
      <c r="G757" s="2" t="s">
        <v>2214</v>
      </c>
      <c r="H757" s="2" t="s">
        <v>2215</v>
      </c>
      <c r="I757" s="2" t="str">
        <f t="shared" si="46"/>
        <v>0.518</v>
      </c>
      <c r="J757" s="2" t="str">
        <f t="shared" si="47"/>
        <v>33.126</v>
      </c>
      <c r="K757" s="2" t="str">
        <f t="shared" si="47"/>
        <v>0.2817</v>
      </c>
      <c r="L757" s="3">
        <v>7.35</v>
      </c>
      <c r="M757">
        <f>((8.47-L757)/8.47)*100</f>
        <v>13.22314049586778</v>
      </c>
    </row>
    <row r="758" spans="1:13" x14ac:dyDescent="0.35">
      <c r="A758" s="1" t="s">
        <v>12</v>
      </c>
      <c r="B758" t="str">
        <f t="shared" si="45"/>
        <v>R0713</v>
      </c>
      <c r="C758" t="str">
        <f t="shared" si="44"/>
        <v>R</v>
      </c>
      <c r="D758" t="s">
        <v>5</v>
      </c>
      <c r="E758">
        <v>13</v>
      </c>
      <c r="F758" s="2" t="s">
        <v>2216</v>
      </c>
      <c r="G758" s="2" t="s">
        <v>2217</v>
      </c>
      <c r="H758" s="2" t="s">
        <v>2218</v>
      </c>
      <c r="I758" s="2" t="str">
        <f t="shared" si="46"/>
        <v>0.524</v>
      </c>
      <c r="J758" s="2" t="str">
        <f t="shared" si="47"/>
        <v>35.178</v>
      </c>
      <c r="K758" s="2" t="str">
        <f t="shared" si="47"/>
        <v>0.2643</v>
      </c>
      <c r="L758" s="3">
        <v>8.5299999999999994</v>
      </c>
      <c r="M758">
        <f>((9.75-L758)/9.75)*100</f>
        <v>12.512820512820518</v>
      </c>
    </row>
    <row r="759" spans="1:13" x14ac:dyDescent="0.35">
      <c r="A759" s="1" t="s">
        <v>13</v>
      </c>
      <c r="B759" t="str">
        <f t="shared" si="45"/>
        <v>R0813</v>
      </c>
      <c r="C759" t="str">
        <f t="shared" si="44"/>
        <v>R</v>
      </c>
      <c r="D759" t="s">
        <v>5</v>
      </c>
      <c r="E759">
        <v>13</v>
      </c>
      <c r="F759" s="2" t="s">
        <v>2219</v>
      </c>
      <c r="G759" s="2" t="s">
        <v>2220</v>
      </c>
      <c r="H759" s="2" t="s">
        <v>2221</v>
      </c>
      <c r="I759" s="2" t="str">
        <f t="shared" si="46"/>
        <v>0.522</v>
      </c>
      <c r="J759" s="2" t="str">
        <f t="shared" si="47"/>
        <v>35.484</v>
      </c>
      <c r="K759" s="2" t="str">
        <f t="shared" si="47"/>
        <v>0.2610</v>
      </c>
      <c r="L759" s="3">
        <v>9.44</v>
      </c>
      <c r="M759">
        <f>((10.46-L759)/10.46)*100</f>
        <v>9.7514340344168371</v>
      </c>
    </row>
    <row r="760" spans="1:13" x14ac:dyDescent="0.35">
      <c r="A760" s="1" t="s">
        <v>14</v>
      </c>
      <c r="B760" t="str">
        <f t="shared" si="45"/>
        <v>R0913</v>
      </c>
      <c r="C760" t="str">
        <f t="shared" si="44"/>
        <v>R</v>
      </c>
      <c r="D760" t="s">
        <v>5</v>
      </c>
      <c r="E760">
        <v>13</v>
      </c>
      <c r="F760" s="2" t="s">
        <v>2222</v>
      </c>
      <c r="G760" s="2" t="s">
        <v>2223</v>
      </c>
      <c r="H760" s="2" t="s">
        <v>2224</v>
      </c>
      <c r="I760" s="2" t="str">
        <f t="shared" si="46"/>
        <v>1.093</v>
      </c>
      <c r="J760" s="2" t="str">
        <f t="shared" si="47"/>
        <v>37.530</v>
      </c>
      <c r="K760" s="2" t="str">
        <f t="shared" si="47"/>
        <v>0.5155</v>
      </c>
      <c r="L760" s="3">
        <v>8.6199999999999992</v>
      </c>
      <c r="M760">
        <f>((9.52-L760)/9.52)*100</f>
        <v>9.4537815126050457</v>
      </c>
    </row>
    <row r="761" spans="1:13" x14ac:dyDescent="0.35">
      <c r="A761" s="1" t="s">
        <v>15</v>
      </c>
      <c r="B761" t="str">
        <f t="shared" si="45"/>
        <v>R1013</v>
      </c>
      <c r="C761" t="str">
        <f t="shared" si="44"/>
        <v>R</v>
      </c>
      <c r="D761" t="s">
        <v>5</v>
      </c>
      <c r="E761">
        <v>13</v>
      </c>
      <c r="F761" s="2" t="s">
        <v>2225</v>
      </c>
      <c r="G761" s="2" t="s">
        <v>2226</v>
      </c>
      <c r="H761" s="2" t="s">
        <v>2227</v>
      </c>
      <c r="I761" s="2" t="str">
        <f t="shared" si="46"/>
        <v>0.402</v>
      </c>
      <c r="J761" s="2" t="str">
        <f t="shared" si="47"/>
        <v>36.242</v>
      </c>
      <c r="K761" s="2" t="str">
        <f t="shared" si="47"/>
        <v>0.1962</v>
      </c>
      <c r="L761" s="3">
        <v>13.39</v>
      </c>
      <c r="M761">
        <f>((14.55-L761)/14.55)*100</f>
        <v>7.9725085910652931</v>
      </c>
    </row>
    <row r="762" spans="1:13" x14ac:dyDescent="0.35">
      <c r="A762" s="1" t="s">
        <v>16</v>
      </c>
      <c r="B762" t="str">
        <f t="shared" si="45"/>
        <v>R1113</v>
      </c>
      <c r="C762" t="str">
        <f t="shared" si="44"/>
        <v>R</v>
      </c>
      <c r="D762" t="s">
        <v>5</v>
      </c>
      <c r="E762">
        <v>13</v>
      </c>
      <c r="F762" s="2" t="s">
        <v>2228</v>
      </c>
      <c r="G762" s="2" t="s">
        <v>2229</v>
      </c>
      <c r="H762" s="2" t="s">
        <v>2230</v>
      </c>
      <c r="I762" s="2" t="str">
        <f t="shared" si="46"/>
        <v>0.643</v>
      </c>
      <c r="J762" s="2" t="str">
        <f t="shared" si="47"/>
        <v>35.549</v>
      </c>
      <c r="K762" s="2" t="str">
        <f t="shared" si="47"/>
        <v>0.3243</v>
      </c>
      <c r="L762" s="3">
        <v>7.85</v>
      </c>
      <c r="M762">
        <f>((8.99-L762)/8.99)*100</f>
        <v>12.680756395995557</v>
      </c>
    </row>
    <row r="763" spans="1:13" x14ac:dyDescent="0.35">
      <c r="A763" s="1" t="s">
        <v>17</v>
      </c>
      <c r="B763" t="str">
        <f t="shared" si="45"/>
        <v>R1213</v>
      </c>
      <c r="C763" t="str">
        <f t="shared" ref="C763:C826" si="48">LEFT(D763,1)</f>
        <v>R</v>
      </c>
      <c r="D763" t="s">
        <v>5</v>
      </c>
      <c r="E763">
        <v>13</v>
      </c>
      <c r="F763" s="2" t="s">
        <v>2230</v>
      </c>
      <c r="G763" s="2" t="s">
        <v>2231</v>
      </c>
      <c r="H763" s="2" t="s">
        <v>2232</v>
      </c>
      <c r="I763" s="2" t="str">
        <f t="shared" si="46"/>
        <v>0.324</v>
      </c>
      <c r="J763" s="2" t="str">
        <f t="shared" si="47"/>
        <v>32.013</v>
      </c>
      <c r="K763" s="2" t="str">
        <f t="shared" si="47"/>
        <v>0.6011</v>
      </c>
      <c r="L763" s="3">
        <v>8.39</v>
      </c>
      <c r="M763">
        <f>((9.52-L763)/9.52)*100</f>
        <v>11.869747899159654</v>
      </c>
    </row>
    <row r="764" spans="1:13" x14ac:dyDescent="0.35">
      <c r="A764" s="1" t="s">
        <v>18</v>
      </c>
      <c r="B764" t="str">
        <f t="shared" si="45"/>
        <v>R1313</v>
      </c>
      <c r="C764" t="str">
        <f t="shared" si="48"/>
        <v>R</v>
      </c>
      <c r="D764" t="s">
        <v>5</v>
      </c>
      <c r="E764">
        <v>13</v>
      </c>
      <c r="F764" s="2" t="s">
        <v>2365</v>
      </c>
      <c r="G764" s="2" t="s">
        <v>2366</v>
      </c>
      <c r="H764" s="2" t="s">
        <v>2367</v>
      </c>
      <c r="I764" s="2" t="str">
        <f t="shared" si="46"/>
        <v>1.133</v>
      </c>
      <c r="J764" s="2" t="str">
        <f t="shared" si="47"/>
        <v>36.226</v>
      </c>
      <c r="K764" s="2" t="str">
        <f t="shared" si="47"/>
        <v>0.5544</v>
      </c>
      <c r="L764" s="3">
        <v>8.82</v>
      </c>
      <c r="M764">
        <f>((10.58-L764)/10.58)*100</f>
        <v>16.6351606805293</v>
      </c>
    </row>
    <row r="765" spans="1:13" x14ac:dyDescent="0.35">
      <c r="A765" s="1" t="s">
        <v>19</v>
      </c>
      <c r="B765" t="str">
        <f t="shared" si="45"/>
        <v>R1413</v>
      </c>
      <c r="C765" t="str">
        <f t="shared" si="48"/>
        <v>R</v>
      </c>
      <c r="D765" t="s">
        <v>5</v>
      </c>
      <c r="E765">
        <v>13</v>
      </c>
      <c r="F765" s="2" t="s">
        <v>2908</v>
      </c>
      <c r="G765" s="2" t="s">
        <v>2909</v>
      </c>
      <c r="H765" s="2" t="s">
        <v>2910</v>
      </c>
      <c r="I765" s="2" t="str">
        <f t="shared" si="46"/>
        <v>0.460</v>
      </c>
      <c r="J765" s="2" t="str">
        <f t="shared" si="47"/>
        <v>31.856</v>
      </c>
      <c r="K765" s="2" t="str">
        <f t="shared" si="47"/>
        <v>0.2542</v>
      </c>
      <c r="L765" s="3">
        <v>10</v>
      </c>
      <c r="M765">
        <f>((11.2-L765)/11.2)*100</f>
        <v>10.714285714285708</v>
      </c>
    </row>
    <row r="766" spans="1:13" x14ac:dyDescent="0.35">
      <c r="A766" s="1" t="s">
        <v>20</v>
      </c>
      <c r="B766" t="str">
        <f t="shared" si="45"/>
        <v>R1513</v>
      </c>
      <c r="C766" t="str">
        <f t="shared" si="48"/>
        <v>R</v>
      </c>
      <c r="D766" t="s">
        <v>5</v>
      </c>
      <c r="E766">
        <v>13</v>
      </c>
      <c r="F766" s="2" t="s">
        <v>2911</v>
      </c>
      <c r="G766" s="2" t="s">
        <v>2912</v>
      </c>
      <c r="H766" s="2" t="s">
        <v>2913</v>
      </c>
      <c r="I766" s="2" t="str">
        <f t="shared" si="46"/>
        <v>0.632</v>
      </c>
      <c r="J766" s="2" t="str">
        <f t="shared" si="47"/>
        <v>36.065</v>
      </c>
      <c r="K766" s="2" t="str">
        <f t="shared" si="47"/>
        <v>0.3134</v>
      </c>
      <c r="L766" s="3">
        <v>9.01</v>
      </c>
      <c r="M766">
        <f>((10.33-L766)/10.33)*100</f>
        <v>12.7783155856728</v>
      </c>
    </row>
    <row r="767" spans="1:13" x14ac:dyDescent="0.35">
      <c r="A767" s="1" t="s">
        <v>22</v>
      </c>
      <c r="B767" t="str">
        <f t="shared" si="45"/>
        <v>R1613</v>
      </c>
      <c r="C767" t="str">
        <f t="shared" si="48"/>
        <v>R</v>
      </c>
      <c r="D767" t="s">
        <v>5</v>
      </c>
      <c r="E767">
        <v>13</v>
      </c>
      <c r="F767" s="2" t="s">
        <v>2914</v>
      </c>
      <c r="G767" s="2" t="s">
        <v>2915</v>
      </c>
      <c r="H767" s="2" t="s">
        <v>2916</v>
      </c>
      <c r="I767" s="2" t="str">
        <f t="shared" si="46"/>
        <v>0.738</v>
      </c>
      <c r="J767" s="2" t="str">
        <f t="shared" si="47"/>
        <v>37.474</v>
      </c>
      <c r="K767" s="2" t="str">
        <f t="shared" si="47"/>
        <v>0.3496</v>
      </c>
      <c r="L767" s="3">
        <v>7.36</v>
      </c>
      <c r="M767">
        <f>((8.36-L767)/8.36)*100</f>
        <v>11.961722488038268</v>
      </c>
    </row>
    <row r="768" spans="1:13" x14ac:dyDescent="0.35">
      <c r="A768" s="1" t="s">
        <v>23</v>
      </c>
      <c r="B768" t="str">
        <f t="shared" si="45"/>
        <v>R1713</v>
      </c>
      <c r="C768" t="str">
        <f t="shared" si="48"/>
        <v>R</v>
      </c>
      <c r="D768" t="s">
        <v>5</v>
      </c>
      <c r="E768">
        <v>13</v>
      </c>
      <c r="F768" s="2" t="s">
        <v>2233</v>
      </c>
      <c r="G768" s="2" t="s">
        <v>2234</v>
      </c>
      <c r="H768" s="2" t="s">
        <v>2235</v>
      </c>
      <c r="I768" s="2" t="str">
        <f t="shared" si="46"/>
        <v>1.075</v>
      </c>
      <c r="J768" s="2" t="str">
        <f t="shared" si="47"/>
        <v>35.049</v>
      </c>
      <c r="K768" s="2" t="str">
        <f t="shared" si="47"/>
        <v>0.5421</v>
      </c>
      <c r="L768" s="3">
        <v>9.67</v>
      </c>
      <c r="M768">
        <f>((10.97-L768)/10.97)*100</f>
        <v>11.850501367365549</v>
      </c>
    </row>
    <row r="769" spans="1:13" x14ac:dyDescent="0.35">
      <c r="A769" s="1" t="s">
        <v>24</v>
      </c>
      <c r="B769" t="str">
        <f t="shared" si="45"/>
        <v>R1813</v>
      </c>
      <c r="C769" t="str">
        <f t="shared" si="48"/>
        <v>R</v>
      </c>
      <c r="D769" t="s">
        <v>5</v>
      </c>
      <c r="E769">
        <v>13</v>
      </c>
      <c r="F769" s="2" t="s">
        <v>2236</v>
      </c>
      <c r="G769" s="2" t="s">
        <v>2237</v>
      </c>
      <c r="H769" s="2" t="s">
        <v>2238</v>
      </c>
      <c r="I769" s="2" t="str">
        <f t="shared" si="46"/>
        <v>1.043</v>
      </c>
      <c r="J769" s="2" t="str">
        <f t="shared" si="47"/>
        <v>32.548</v>
      </c>
      <c r="K769" s="2" t="str">
        <f t="shared" si="47"/>
        <v>0.5703</v>
      </c>
      <c r="L769" s="3">
        <v>6.99</v>
      </c>
      <c r="M769">
        <f>((8.03-L769)/8.03)*100</f>
        <v>12.951432129514313</v>
      </c>
    </row>
    <row r="770" spans="1:13" x14ac:dyDescent="0.35">
      <c r="A770" s="1" t="s">
        <v>25</v>
      </c>
      <c r="B770" t="str">
        <f t="shared" si="45"/>
        <v>R1913</v>
      </c>
      <c r="C770" t="str">
        <f t="shared" si="48"/>
        <v>R</v>
      </c>
      <c r="D770" t="s">
        <v>5</v>
      </c>
      <c r="E770">
        <v>13</v>
      </c>
      <c r="F770" s="2" t="s">
        <v>2239</v>
      </c>
      <c r="G770" s="2" t="s">
        <v>2240</v>
      </c>
      <c r="H770" s="2" t="s">
        <v>2241</v>
      </c>
      <c r="I770" s="2" t="str">
        <f t="shared" si="46"/>
        <v>0.424</v>
      </c>
      <c r="J770" s="2" t="str">
        <f t="shared" si="47"/>
        <v>36.374</v>
      </c>
      <c r="K770" s="2" t="str">
        <f t="shared" si="47"/>
        <v>0.2068</v>
      </c>
      <c r="L770" s="3">
        <v>7.77</v>
      </c>
      <c r="M770">
        <f>((8.97-L770)/8.97)*100</f>
        <v>13.377926421404693</v>
      </c>
    </row>
    <row r="771" spans="1:13" x14ac:dyDescent="0.35">
      <c r="A771" s="1" t="s">
        <v>26</v>
      </c>
      <c r="B771" t="str">
        <f t="shared" ref="B771:B834" si="49">CONCATENATE(C771,A771,E771)</f>
        <v>R2013</v>
      </c>
      <c r="C771" t="str">
        <f t="shared" si="48"/>
        <v>R</v>
      </c>
      <c r="D771" t="s">
        <v>5</v>
      </c>
      <c r="E771">
        <v>13</v>
      </c>
      <c r="F771" s="2" t="s">
        <v>2242</v>
      </c>
      <c r="G771" s="2" t="s">
        <v>2243</v>
      </c>
      <c r="H771" s="2" t="s">
        <v>2244</v>
      </c>
      <c r="I771" s="2" t="str">
        <f t="shared" ref="I771:I834" si="50">LEFT(F771,5)</f>
        <v>0.745</v>
      </c>
      <c r="J771" s="2" t="str">
        <f t="shared" si="47"/>
        <v>36.775</v>
      </c>
      <c r="K771" s="2" t="str">
        <f t="shared" si="47"/>
        <v>0.3592</v>
      </c>
      <c r="L771" s="3">
        <v>8.24</v>
      </c>
      <c r="M771">
        <f>((9.17-L771)/9.17)*100</f>
        <v>10.141766630316246</v>
      </c>
    </row>
    <row r="772" spans="1:13" x14ac:dyDescent="0.35">
      <c r="A772" s="1" t="s">
        <v>27</v>
      </c>
      <c r="B772" t="str">
        <f t="shared" si="49"/>
        <v>R2113</v>
      </c>
      <c r="C772" t="str">
        <f t="shared" si="48"/>
        <v>R</v>
      </c>
      <c r="D772" t="s">
        <v>5</v>
      </c>
      <c r="E772">
        <v>13</v>
      </c>
      <c r="F772" s="2" t="s">
        <v>2245</v>
      </c>
      <c r="G772" s="2" t="s">
        <v>2246</v>
      </c>
      <c r="H772" s="2" t="s">
        <v>2247</v>
      </c>
      <c r="I772" s="2" t="str">
        <f t="shared" si="50"/>
        <v>0.616</v>
      </c>
      <c r="J772" s="2" t="str">
        <f t="shared" si="47"/>
        <v>35.821</v>
      </c>
      <c r="K772" s="2" t="str">
        <f t="shared" si="47"/>
        <v>0.3056</v>
      </c>
      <c r="L772" s="3">
        <v>9.7899999999999991</v>
      </c>
      <c r="M772">
        <f>((11.02-L772)/11.02)*100</f>
        <v>11.161524500907445</v>
      </c>
    </row>
    <row r="773" spans="1:13" x14ac:dyDescent="0.35">
      <c r="A773" s="1" t="s">
        <v>28</v>
      </c>
      <c r="B773" t="str">
        <f t="shared" si="49"/>
        <v>R2213</v>
      </c>
      <c r="C773" t="str">
        <f t="shared" si="48"/>
        <v>R</v>
      </c>
      <c r="D773" t="s">
        <v>5</v>
      </c>
      <c r="E773">
        <v>13</v>
      </c>
      <c r="F773" s="2" t="s">
        <v>2248</v>
      </c>
      <c r="G773" s="2" t="s">
        <v>2249</v>
      </c>
      <c r="H773" s="2" t="s">
        <v>2250</v>
      </c>
      <c r="I773" s="2" t="str">
        <f t="shared" si="50"/>
        <v>0.713</v>
      </c>
      <c r="J773" s="2" t="str">
        <f t="shared" ref="J773:K836" si="51">LEFT(G773,6)</f>
        <v>35.619</v>
      </c>
      <c r="K773" s="2" t="str">
        <f t="shared" si="51"/>
        <v>0.3551</v>
      </c>
      <c r="L773" s="3">
        <v>10.14</v>
      </c>
      <c r="M773">
        <f>((11.2-L773)/11.2)*100</f>
        <v>9.4642857142857029</v>
      </c>
    </row>
    <row r="774" spans="1:13" x14ac:dyDescent="0.35">
      <c r="A774" s="1" t="s">
        <v>29</v>
      </c>
      <c r="B774" t="str">
        <f t="shared" si="49"/>
        <v>R2313</v>
      </c>
      <c r="C774" t="str">
        <f t="shared" si="48"/>
        <v>R</v>
      </c>
      <c r="D774" t="s">
        <v>5</v>
      </c>
      <c r="E774">
        <v>13</v>
      </c>
      <c r="F774" s="2" t="s">
        <v>2251</v>
      </c>
      <c r="G774" s="2" t="s">
        <v>2252</v>
      </c>
      <c r="H774" s="2" t="s">
        <v>2253</v>
      </c>
      <c r="I774" s="2" t="str">
        <f t="shared" si="50"/>
        <v>0.556</v>
      </c>
      <c r="J774" s="2" t="str">
        <f t="shared" si="51"/>
        <v>37.683</v>
      </c>
      <c r="K774" s="2" t="str">
        <f t="shared" si="51"/>
        <v>0.2625</v>
      </c>
      <c r="L774" s="3">
        <v>9.39</v>
      </c>
      <c r="M774">
        <f>((10.41-L774)/10.41)*100</f>
        <v>9.7982708933717539</v>
      </c>
    </row>
    <row r="775" spans="1:13" x14ac:dyDescent="0.35">
      <c r="A775" s="1" t="s">
        <v>30</v>
      </c>
      <c r="B775" t="str">
        <f t="shared" si="49"/>
        <v>R2413</v>
      </c>
      <c r="C775" t="str">
        <f t="shared" si="48"/>
        <v>R</v>
      </c>
      <c r="D775" t="s">
        <v>5</v>
      </c>
      <c r="E775">
        <v>13</v>
      </c>
      <c r="F775" s="2" t="s">
        <v>2254</v>
      </c>
      <c r="G775" s="2" t="s">
        <v>2255</v>
      </c>
      <c r="H775" s="2" t="s">
        <v>2256</v>
      </c>
      <c r="I775" s="2" t="str">
        <f t="shared" si="50"/>
        <v>1.071</v>
      </c>
      <c r="J775" s="2" t="str">
        <f t="shared" si="51"/>
        <v>35.736</v>
      </c>
      <c r="K775" s="2" t="str">
        <f t="shared" si="51"/>
        <v>0.5303</v>
      </c>
      <c r="L775" s="3">
        <v>10.62</v>
      </c>
      <c r="M775">
        <f>((11.96-L775)/11.96)*100</f>
        <v>11.204013377926435</v>
      </c>
    </row>
    <row r="776" spans="1:13" x14ac:dyDescent="0.35">
      <c r="A776" s="1" t="s">
        <v>31</v>
      </c>
      <c r="B776" t="str">
        <f t="shared" si="49"/>
        <v>R2513</v>
      </c>
      <c r="C776" t="str">
        <f t="shared" si="48"/>
        <v>R</v>
      </c>
      <c r="D776" t="s">
        <v>5</v>
      </c>
      <c r="E776">
        <v>13</v>
      </c>
      <c r="F776" s="2" t="s">
        <v>2257</v>
      </c>
      <c r="G776" s="2" t="s">
        <v>2258</v>
      </c>
      <c r="H776" s="2" t="s">
        <v>2259</v>
      </c>
      <c r="I776" s="2" t="str">
        <f t="shared" si="50"/>
        <v>0.484</v>
      </c>
      <c r="J776" s="2" t="str">
        <f t="shared" si="51"/>
        <v>35.360</v>
      </c>
      <c r="K776" s="2" t="str">
        <f t="shared" si="51"/>
        <v>0.2423</v>
      </c>
      <c r="L776" s="3">
        <v>10.32</v>
      </c>
      <c r="M776">
        <f>((11.77-L776)/11.77)*100</f>
        <v>12.319456244689885</v>
      </c>
    </row>
    <row r="777" spans="1:13" x14ac:dyDescent="0.35">
      <c r="A777" s="1" t="s">
        <v>32</v>
      </c>
      <c r="B777" t="str">
        <f t="shared" si="49"/>
        <v>R2613</v>
      </c>
      <c r="C777" t="str">
        <f t="shared" si="48"/>
        <v>R</v>
      </c>
      <c r="D777" t="s">
        <v>5</v>
      </c>
      <c r="E777">
        <v>13</v>
      </c>
      <c r="F777" s="2" t="s">
        <v>2260</v>
      </c>
      <c r="G777" s="2" t="s">
        <v>2261</v>
      </c>
      <c r="H777" s="2" t="s">
        <v>2262</v>
      </c>
      <c r="I777" s="2" t="str">
        <f t="shared" si="50"/>
        <v>0.675</v>
      </c>
      <c r="J777" s="2" t="str">
        <f t="shared" si="51"/>
        <v>34.281</v>
      </c>
      <c r="K777" s="2" t="str">
        <f t="shared" si="51"/>
        <v>0.3488</v>
      </c>
      <c r="L777" s="3">
        <v>11.44</v>
      </c>
      <c r="M777">
        <f>((12.72-L777)/12.72)*100</f>
        <v>10.062893081761015</v>
      </c>
    </row>
    <row r="778" spans="1:13" x14ac:dyDescent="0.35">
      <c r="A778" s="1" t="s">
        <v>33</v>
      </c>
      <c r="B778" t="str">
        <f t="shared" si="49"/>
        <v>R2713</v>
      </c>
      <c r="C778" t="str">
        <f t="shared" si="48"/>
        <v>R</v>
      </c>
      <c r="D778" t="s">
        <v>5</v>
      </c>
      <c r="E778">
        <v>13</v>
      </c>
      <c r="F778" s="2" t="s">
        <v>2263</v>
      </c>
      <c r="G778" s="2" t="s">
        <v>2264</v>
      </c>
      <c r="H778" s="2" t="s">
        <v>2265</v>
      </c>
      <c r="I778" s="2" t="str">
        <f t="shared" si="50"/>
        <v>1.174</v>
      </c>
      <c r="J778" s="2" t="str">
        <f t="shared" si="51"/>
        <v>36.609</v>
      </c>
      <c r="K778" s="2" t="str">
        <f t="shared" si="51"/>
        <v>0.5681</v>
      </c>
      <c r="L778" s="3">
        <v>11.65</v>
      </c>
      <c r="M778">
        <f>((13.02-L778)/13.02)*100</f>
        <v>10.522273425499225</v>
      </c>
    </row>
    <row r="779" spans="1:13" x14ac:dyDescent="0.35">
      <c r="A779" s="1" t="s">
        <v>34</v>
      </c>
      <c r="B779" t="str">
        <f t="shared" si="49"/>
        <v>R2813</v>
      </c>
      <c r="C779" t="str">
        <f t="shared" si="48"/>
        <v>R</v>
      </c>
      <c r="D779" t="s">
        <v>5</v>
      </c>
      <c r="E779">
        <v>13</v>
      </c>
      <c r="F779" s="2" t="s">
        <v>2266</v>
      </c>
      <c r="G779" s="2" t="s">
        <v>2267</v>
      </c>
      <c r="H779" s="2" t="s">
        <v>2268</v>
      </c>
      <c r="I779" s="2" t="str">
        <f t="shared" si="50"/>
        <v>1.130</v>
      </c>
      <c r="J779" s="2" t="str">
        <f t="shared" si="51"/>
        <v>36.008</v>
      </c>
      <c r="K779" s="2" t="str">
        <f t="shared" si="51"/>
        <v>0.5558</v>
      </c>
      <c r="L779" s="3">
        <v>9</v>
      </c>
      <c r="M779">
        <f>((10.13-L779)/10.13)*100</f>
        <v>11.15498519249754</v>
      </c>
    </row>
    <row r="780" spans="1:13" x14ac:dyDescent="0.35">
      <c r="A780" s="1" t="s">
        <v>35</v>
      </c>
      <c r="B780" t="str">
        <f t="shared" si="49"/>
        <v>R2913</v>
      </c>
      <c r="C780" t="str">
        <f t="shared" si="48"/>
        <v>R</v>
      </c>
      <c r="D780" t="s">
        <v>5</v>
      </c>
      <c r="E780">
        <v>13</v>
      </c>
      <c r="F780" s="2" t="s">
        <v>2269</v>
      </c>
      <c r="G780" s="2" t="s">
        <v>2270</v>
      </c>
      <c r="H780" s="2" t="s">
        <v>2271</v>
      </c>
      <c r="I780" s="2" t="str">
        <f t="shared" si="50"/>
        <v>0.795</v>
      </c>
      <c r="J780" s="2" t="str">
        <f t="shared" si="51"/>
        <v>30.365</v>
      </c>
      <c r="K780" s="2" t="str">
        <f t="shared" si="51"/>
        <v>0.4640</v>
      </c>
      <c r="L780" s="3">
        <v>6.98</v>
      </c>
      <c r="M780">
        <f>((8.49-L780)/8.49)*100</f>
        <v>17.785630153121314</v>
      </c>
    </row>
    <row r="781" spans="1:13" x14ac:dyDescent="0.35">
      <c r="A781" s="1" t="s">
        <v>36</v>
      </c>
      <c r="B781" t="str">
        <f t="shared" si="49"/>
        <v>R3013</v>
      </c>
      <c r="C781" t="str">
        <f t="shared" si="48"/>
        <v>R</v>
      </c>
      <c r="D781" t="s">
        <v>5</v>
      </c>
      <c r="E781">
        <v>13</v>
      </c>
      <c r="F781" s="2" t="s">
        <v>2272</v>
      </c>
      <c r="G781" s="2" t="s">
        <v>2273</v>
      </c>
      <c r="H781" s="2" t="s">
        <v>2274</v>
      </c>
      <c r="I781" s="2" t="str">
        <f t="shared" si="50"/>
        <v>0.472</v>
      </c>
      <c r="J781" s="2" t="str">
        <f t="shared" si="51"/>
        <v>34.749</v>
      </c>
      <c r="K781" s="2" t="str">
        <f t="shared" si="51"/>
        <v>0.2404</v>
      </c>
      <c r="L781" s="3">
        <v>6.45</v>
      </c>
      <c r="M781">
        <f>((7.78-L781)/7.78)*100</f>
        <v>17.095115681233931</v>
      </c>
    </row>
    <row r="782" spans="1:13" x14ac:dyDescent="0.35">
      <c r="A782" s="1" t="s">
        <v>7</v>
      </c>
      <c r="B782" t="str">
        <f t="shared" si="49"/>
        <v>C0114</v>
      </c>
      <c r="C782" t="str">
        <f t="shared" si="48"/>
        <v>C</v>
      </c>
      <c r="D782" t="s">
        <v>4</v>
      </c>
      <c r="E782">
        <v>14</v>
      </c>
      <c r="F782" s="2" t="s">
        <v>2458</v>
      </c>
      <c r="G782" s="2" t="s">
        <v>2459</v>
      </c>
      <c r="H782" s="2" t="s">
        <v>2460</v>
      </c>
      <c r="I782" s="2" t="str">
        <f t="shared" si="50"/>
        <v>0.997</v>
      </c>
      <c r="J782" s="2" t="str">
        <f t="shared" si="51"/>
        <v>35.097</v>
      </c>
      <c r="K782" s="2" t="str">
        <f t="shared" si="51"/>
        <v>0.5058</v>
      </c>
      <c r="L782" s="3">
        <v>10</v>
      </c>
      <c r="M782">
        <f>((10.71-L782)/10.71)*100</f>
        <v>6.629318394024283</v>
      </c>
    </row>
    <row r="783" spans="1:13" x14ac:dyDescent="0.35">
      <c r="A783" s="1" t="s">
        <v>8</v>
      </c>
      <c r="B783" t="str">
        <f t="shared" si="49"/>
        <v>C0214</v>
      </c>
      <c r="C783" t="str">
        <f t="shared" si="48"/>
        <v>C</v>
      </c>
      <c r="D783" t="s">
        <v>4</v>
      </c>
      <c r="E783">
        <v>14</v>
      </c>
      <c r="F783" s="2" t="s">
        <v>2461</v>
      </c>
      <c r="G783" s="2" t="s">
        <v>2462</v>
      </c>
      <c r="H783" s="2" t="s">
        <v>2463</v>
      </c>
      <c r="I783" s="2" t="str">
        <f t="shared" si="50"/>
        <v>0.930</v>
      </c>
      <c r="J783" s="2" t="str">
        <f t="shared" si="51"/>
        <v>33.357</v>
      </c>
      <c r="K783" s="2" t="str">
        <f t="shared" si="51"/>
        <v>0.4933</v>
      </c>
      <c r="L783" s="3">
        <v>10.45</v>
      </c>
      <c r="M783">
        <f>((11.03-L783)/11.03)*100</f>
        <v>5.2583862194016326</v>
      </c>
    </row>
    <row r="784" spans="1:13" x14ac:dyDescent="0.35">
      <c r="A784" s="1" t="s">
        <v>21</v>
      </c>
      <c r="B784" t="str">
        <f t="shared" si="49"/>
        <v>C0314</v>
      </c>
      <c r="C784" t="str">
        <f t="shared" si="48"/>
        <v>C</v>
      </c>
      <c r="D784" t="s">
        <v>4</v>
      </c>
      <c r="E784">
        <v>14</v>
      </c>
      <c r="F784" s="2" t="s">
        <v>2464</v>
      </c>
      <c r="G784" s="2" t="s">
        <v>2465</v>
      </c>
      <c r="H784" s="2" t="s">
        <v>2466</v>
      </c>
      <c r="I784" s="2" t="str">
        <f t="shared" si="50"/>
        <v>0.511</v>
      </c>
      <c r="J784" s="2" t="str">
        <f t="shared" si="51"/>
        <v>33.489</v>
      </c>
      <c r="K784" s="2" t="str">
        <f t="shared" si="51"/>
        <v>0.2701</v>
      </c>
      <c r="L784" s="3">
        <v>8.44</v>
      </c>
      <c r="M784">
        <f>((8.99-L784)/8.99)*100</f>
        <v>6.1179087875417215</v>
      </c>
    </row>
    <row r="785" spans="1:13" x14ac:dyDescent="0.35">
      <c r="A785" s="1" t="s">
        <v>9</v>
      </c>
      <c r="B785" t="str">
        <f t="shared" si="49"/>
        <v>C0414</v>
      </c>
      <c r="C785" t="str">
        <f t="shared" si="48"/>
        <v>C</v>
      </c>
      <c r="D785" t="s">
        <v>4</v>
      </c>
      <c r="E785">
        <v>14</v>
      </c>
      <c r="F785" s="2" t="s">
        <v>2467</v>
      </c>
      <c r="G785" s="2" t="s">
        <v>2468</v>
      </c>
      <c r="H785" s="2" t="s">
        <v>2469</v>
      </c>
      <c r="I785" s="2" t="str">
        <f t="shared" si="50"/>
        <v>0.875</v>
      </c>
      <c r="J785" s="2" t="str">
        <f t="shared" si="51"/>
        <v>35.926</v>
      </c>
      <c r="K785" s="2" t="str">
        <f t="shared" si="51"/>
        <v>0.4311</v>
      </c>
      <c r="L785" s="3">
        <v>12.35</v>
      </c>
      <c r="M785">
        <f>((12.82-L785)/12.82)*100</f>
        <v>3.6661466458658394</v>
      </c>
    </row>
    <row r="786" spans="1:13" x14ac:dyDescent="0.35">
      <c r="A786" s="1" t="s">
        <v>10</v>
      </c>
      <c r="B786" t="str">
        <f t="shared" si="49"/>
        <v>C0514</v>
      </c>
      <c r="C786" t="str">
        <f t="shared" si="48"/>
        <v>C</v>
      </c>
      <c r="D786" t="s">
        <v>4</v>
      </c>
      <c r="E786">
        <v>14</v>
      </c>
      <c r="F786" s="2" t="s">
        <v>2470</v>
      </c>
      <c r="G786" s="2" t="s">
        <v>2471</v>
      </c>
      <c r="H786" s="2" t="s">
        <v>2472</v>
      </c>
      <c r="I786" s="2" t="str">
        <f t="shared" si="50"/>
        <v>0.435</v>
      </c>
      <c r="J786" s="2" t="str">
        <f t="shared" si="51"/>
        <v>36.828</v>
      </c>
      <c r="K786" s="2" t="str">
        <f t="shared" si="51"/>
        <v>0.2096</v>
      </c>
      <c r="L786" s="3">
        <v>10.79</v>
      </c>
      <c r="M786">
        <f>((11.24-L786)/11.24)*100</f>
        <v>4.0035587188612194</v>
      </c>
    </row>
    <row r="787" spans="1:13" x14ac:dyDescent="0.35">
      <c r="A787" s="1" t="s">
        <v>11</v>
      </c>
      <c r="B787" t="str">
        <f t="shared" si="49"/>
        <v>C0614</v>
      </c>
      <c r="C787" t="str">
        <f t="shared" si="48"/>
        <v>C</v>
      </c>
      <c r="D787" t="s">
        <v>4</v>
      </c>
      <c r="E787">
        <v>14</v>
      </c>
      <c r="F787" s="2" t="s">
        <v>2473</v>
      </c>
      <c r="G787" s="2" t="s">
        <v>2474</v>
      </c>
      <c r="H787" s="2" t="s">
        <v>2475</v>
      </c>
      <c r="I787" s="2" t="str">
        <f t="shared" si="50"/>
        <v>1.145</v>
      </c>
      <c r="J787" s="2" t="str">
        <f t="shared" si="51"/>
        <v>34.549</v>
      </c>
      <c r="K787" s="2" t="str">
        <f t="shared" si="51"/>
        <v>0.5880</v>
      </c>
      <c r="L787" s="3">
        <v>8.99</v>
      </c>
      <c r="M787">
        <f>((9.49-L787)/9.49)*100</f>
        <v>5.2687038988408856</v>
      </c>
    </row>
    <row r="788" spans="1:13" x14ac:dyDescent="0.35">
      <c r="A788" s="1" t="s">
        <v>12</v>
      </c>
      <c r="B788" t="str">
        <f t="shared" si="49"/>
        <v>C0714</v>
      </c>
      <c r="C788" t="str">
        <f t="shared" si="48"/>
        <v>C</v>
      </c>
      <c r="D788" t="s">
        <v>4</v>
      </c>
      <c r="E788">
        <v>14</v>
      </c>
      <c r="F788" s="2" t="s">
        <v>2476</v>
      </c>
      <c r="G788" s="2" t="s">
        <v>2477</v>
      </c>
      <c r="H788" s="2" t="s">
        <v>2478</v>
      </c>
      <c r="I788" s="2" t="str">
        <f t="shared" si="50"/>
        <v>0.971</v>
      </c>
      <c r="J788" s="2" t="str">
        <f t="shared" si="51"/>
        <v>36.720</v>
      </c>
      <c r="K788" s="2" t="str">
        <f t="shared" si="51"/>
        <v>0.4691</v>
      </c>
      <c r="L788" s="3">
        <v>11.82</v>
      </c>
      <c r="M788">
        <f>((12.19-L788)/12.19)*100</f>
        <v>3.0352748154224711</v>
      </c>
    </row>
    <row r="789" spans="1:13" x14ac:dyDescent="0.35">
      <c r="A789" s="1" t="s">
        <v>13</v>
      </c>
      <c r="B789" t="str">
        <f t="shared" si="49"/>
        <v>C0814</v>
      </c>
      <c r="C789" t="str">
        <f t="shared" si="48"/>
        <v>C</v>
      </c>
      <c r="D789" t="s">
        <v>4</v>
      </c>
      <c r="E789">
        <v>14</v>
      </c>
      <c r="F789" s="2" t="s">
        <v>2479</v>
      </c>
      <c r="G789" s="2" t="s">
        <v>2480</v>
      </c>
      <c r="H789" s="2" t="s">
        <v>2481</v>
      </c>
      <c r="I789" s="2" t="str">
        <f t="shared" si="50"/>
        <v>0.531</v>
      </c>
      <c r="J789" s="2" t="str">
        <f t="shared" si="51"/>
        <v>33.462</v>
      </c>
      <c r="K789" s="2" t="str">
        <f t="shared" si="51"/>
        <v>0.2813</v>
      </c>
      <c r="L789" s="3">
        <v>8.59</v>
      </c>
      <c r="M789">
        <f>((9.02-L789)/9.02)*100</f>
        <v>4.7671840354767152</v>
      </c>
    </row>
    <row r="790" spans="1:13" x14ac:dyDescent="0.35">
      <c r="A790" s="1" t="s">
        <v>14</v>
      </c>
      <c r="B790" t="str">
        <f t="shared" si="49"/>
        <v>C0914</v>
      </c>
      <c r="C790" t="str">
        <f t="shared" si="48"/>
        <v>C</v>
      </c>
      <c r="D790" t="s">
        <v>4</v>
      </c>
      <c r="E790">
        <v>14</v>
      </c>
      <c r="F790" s="2" t="s">
        <v>2482</v>
      </c>
      <c r="G790" s="2" t="s">
        <v>2483</v>
      </c>
      <c r="H790" s="2" t="s">
        <v>2484</v>
      </c>
      <c r="I790" s="2" t="str">
        <f t="shared" si="50"/>
        <v>0.506</v>
      </c>
      <c r="J790" s="2" t="str">
        <f t="shared" si="51"/>
        <v>31.194</v>
      </c>
      <c r="K790" s="2" t="str">
        <f t="shared" si="51"/>
        <v>0.2873</v>
      </c>
      <c r="L790" s="3">
        <v>8.32</v>
      </c>
      <c r="M790">
        <f>((8.66-L790)/8.66)*100</f>
        <v>3.9260969976905291</v>
      </c>
    </row>
    <row r="791" spans="1:13" x14ac:dyDescent="0.35">
      <c r="A791" s="1" t="s">
        <v>15</v>
      </c>
      <c r="B791" t="str">
        <f t="shared" si="49"/>
        <v>C1014</v>
      </c>
      <c r="C791" t="str">
        <f t="shared" si="48"/>
        <v>C</v>
      </c>
      <c r="D791" t="s">
        <v>4</v>
      </c>
      <c r="E791">
        <v>14</v>
      </c>
      <c r="F791" s="2" t="s">
        <v>2485</v>
      </c>
      <c r="G791" s="2" t="s">
        <v>2486</v>
      </c>
      <c r="H791" s="2" t="s">
        <v>2487</v>
      </c>
      <c r="I791" s="2" t="str">
        <f t="shared" si="50"/>
        <v>0.659</v>
      </c>
      <c r="J791" s="2" t="str">
        <f t="shared" si="51"/>
        <v>37.327</v>
      </c>
      <c r="K791" s="2" t="str">
        <f t="shared" si="51"/>
        <v>0.3128</v>
      </c>
      <c r="L791" s="3">
        <v>12.23</v>
      </c>
      <c r="M791">
        <f>((12.87-L791)/12.87)*100</f>
        <v>4.9728049728049637</v>
      </c>
    </row>
    <row r="792" spans="1:13" x14ac:dyDescent="0.35">
      <c r="A792" s="1" t="s">
        <v>16</v>
      </c>
      <c r="B792" t="str">
        <f t="shared" si="49"/>
        <v>C1114</v>
      </c>
      <c r="C792" t="str">
        <f t="shared" si="48"/>
        <v>C</v>
      </c>
      <c r="D792" t="s">
        <v>4</v>
      </c>
      <c r="E792">
        <v>14</v>
      </c>
      <c r="F792" s="2" t="s">
        <v>2488</v>
      </c>
      <c r="G792" s="2" t="s">
        <v>2489</v>
      </c>
      <c r="H792" s="2" t="s">
        <v>2490</v>
      </c>
      <c r="I792" s="2" t="str">
        <f t="shared" si="50"/>
        <v>1.064</v>
      </c>
      <c r="J792" s="2" t="str">
        <f t="shared" si="51"/>
        <v>37.664</v>
      </c>
      <c r="K792" s="2" t="str">
        <f t="shared" si="51"/>
        <v>0.5011</v>
      </c>
      <c r="L792" s="3">
        <v>7.71</v>
      </c>
      <c r="M792">
        <f>((8.02-L792)/8.02)*100</f>
        <v>3.86533665835411</v>
      </c>
    </row>
    <row r="793" spans="1:13" x14ac:dyDescent="0.35">
      <c r="A793" s="1" t="s">
        <v>17</v>
      </c>
      <c r="B793" t="str">
        <f t="shared" si="49"/>
        <v>C1214</v>
      </c>
      <c r="C793" t="str">
        <f t="shared" si="48"/>
        <v>C</v>
      </c>
      <c r="D793" t="s">
        <v>4</v>
      </c>
      <c r="E793">
        <v>14</v>
      </c>
      <c r="F793" s="2" t="s">
        <v>2491</v>
      </c>
      <c r="G793" s="2" t="s">
        <v>2492</v>
      </c>
      <c r="H793" s="2" t="s">
        <v>2493</v>
      </c>
      <c r="I793" s="2" t="str">
        <f t="shared" si="50"/>
        <v>1.132</v>
      </c>
      <c r="J793" s="2" t="str">
        <f t="shared" si="51"/>
        <v>36.803</v>
      </c>
      <c r="K793" s="2" t="str">
        <f t="shared" si="51"/>
        <v>0.5447</v>
      </c>
      <c r="L793" s="3">
        <v>8.66</v>
      </c>
      <c r="M793">
        <f>((9.02-L793)/9.02)*100</f>
        <v>3.9911308203991065</v>
      </c>
    </row>
    <row r="794" spans="1:13" x14ac:dyDescent="0.35">
      <c r="A794" s="1" t="s">
        <v>18</v>
      </c>
      <c r="B794" t="str">
        <f t="shared" si="49"/>
        <v>C1314</v>
      </c>
      <c r="C794" t="str">
        <f t="shared" si="48"/>
        <v>C</v>
      </c>
      <c r="D794" t="s">
        <v>4</v>
      </c>
      <c r="E794">
        <v>14</v>
      </c>
      <c r="F794" s="2" t="s">
        <v>2494</v>
      </c>
      <c r="G794" s="2" t="s">
        <v>2495</v>
      </c>
      <c r="H794" s="2" t="s">
        <v>2496</v>
      </c>
      <c r="I794" s="2" t="str">
        <f t="shared" si="50"/>
        <v>1.099</v>
      </c>
      <c r="J794" s="2" t="str">
        <f t="shared" si="51"/>
        <v>31.870</v>
      </c>
      <c r="K794" s="2" t="str">
        <f t="shared" si="51"/>
        <v>0.6120</v>
      </c>
      <c r="L794" s="3">
        <v>10.02</v>
      </c>
      <c r="M794">
        <f>((10.68-L794)/10.68)*100</f>
        <v>6.1797752808988777</v>
      </c>
    </row>
    <row r="795" spans="1:13" x14ac:dyDescent="0.35">
      <c r="A795" s="1" t="s">
        <v>19</v>
      </c>
      <c r="B795" t="str">
        <f t="shared" si="49"/>
        <v>C1414</v>
      </c>
      <c r="C795" t="str">
        <f t="shared" si="48"/>
        <v>C</v>
      </c>
      <c r="D795" t="s">
        <v>4</v>
      </c>
      <c r="E795">
        <v>14</v>
      </c>
      <c r="F795" s="2" t="s">
        <v>2497</v>
      </c>
      <c r="G795" s="2" t="s">
        <v>2498</v>
      </c>
      <c r="H795" s="2" t="s">
        <v>2499</v>
      </c>
      <c r="I795" s="2" t="str">
        <f t="shared" si="50"/>
        <v>0.496</v>
      </c>
      <c r="J795" s="2" t="str">
        <f t="shared" si="51"/>
        <v>35.018</v>
      </c>
      <c r="K795" s="2" t="str">
        <f t="shared" si="51"/>
        <v>0.2510</v>
      </c>
      <c r="L795" s="3">
        <v>8.86</v>
      </c>
      <c r="M795">
        <f>((9.31-L795)/9.31)*100</f>
        <v>4.8335123523093566</v>
      </c>
    </row>
    <row r="796" spans="1:13" x14ac:dyDescent="0.35">
      <c r="A796" s="1" t="s">
        <v>20</v>
      </c>
      <c r="B796" t="str">
        <f t="shared" si="49"/>
        <v>C1514</v>
      </c>
      <c r="C796" t="str">
        <f t="shared" si="48"/>
        <v>C</v>
      </c>
      <c r="D796" t="s">
        <v>4</v>
      </c>
      <c r="E796">
        <v>14</v>
      </c>
      <c r="F796" s="2" t="s">
        <v>2500</v>
      </c>
      <c r="G796" s="2" t="s">
        <v>2501</v>
      </c>
      <c r="H796" s="2" t="s">
        <v>2502</v>
      </c>
      <c r="I796" s="2" t="str">
        <f t="shared" si="50"/>
        <v>1.111</v>
      </c>
      <c r="J796" s="2" t="str">
        <f t="shared" si="51"/>
        <v>35.844</v>
      </c>
      <c r="K796" s="2" t="str">
        <f t="shared" si="51"/>
        <v>0.5484</v>
      </c>
      <c r="L796" s="3">
        <v>12.47</v>
      </c>
      <c r="M796">
        <f>((12.96-L796)/12.96)*100</f>
        <v>3.7808641975308657</v>
      </c>
    </row>
    <row r="797" spans="1:13" x14ac:dyDescent="0.35">
      <c r="A797" s="1" t="s">
        <v>22</v>
      </c>
      <c r="B797" t="str">
        <f t="shared" si="49"/>
        <v>C1614</v>
      </c>
      <c r="C797" t="str">
        <f t="shared" si="48"/>
        <v>C</v>
      </c>
      <c r="D797" t="s">
        <v>4</v>
      </c>
      <c r="E797">
        <v>14</v>
      </c>
      <c r="F797" s="2" t="s">
        <v>2503</v>
      </c>
      <c r="G797" s="2" t="s">
        <v>2504</v>
      </c>
      <c r="H797" s="2" t="s">
        <v>2505</v>
      </c>
      <c r="I797" s="2" t="str">
        <f t="shared" si="50"/>
        <v>0.771</v>
      </c>
      <c r="J797" s="2" t="str">
        <f t="shared" si="51"/>
        <v>36.403</v>
      </c>
      <c r="K797" s="2" t="str">
        <f t="shared" si="51"/>
        <v>0.3753</v>
      </c>
      <c r="L797" s="3">
        <v>12.47</v>
      </c>
      <c r="M797">
        <f>((13.01-L797)/13.01)*100</f>
        <v>4.1506533435818538</v>
      </c>
    </row>
    <row r="798" spans="1:13" x14ac:dyDescent="0.35">
      <c r="A798" s="1" t="s">
        <v>23</v>
      </c>
      <c r="B798" t="str">
        <f t="shared" si="49"/>
        <v>C1714</v>
      </c>
      <c r="C798" t="str">
        <f t="shared" si="48"/>
        <v>C</v>
      </c>
      <c r="D798" t="s">
        <v>4</v>
      </c>
      <c r="E798">
        <v>14</v>
      </c>
      <c r="F798" s="2" t="s">
        <v>2506</v>
      </c>
      <c r="G798" s="2" t="s">
        <v>2507</v>
      </c>
      <c r="H798" s="2" t="s">
        <v>2508</v>
      </c>
      <c r="I798" s="2" t="str">
        <f t="shared" si="50"/>
        <v>0.785</v>
      </c>
      <c r="J798" s="2" t="str">
        <f t="shared" si="51"/>
        <v>28.649</v>
      </c>
      <c r="K798" s="2" t="str">
        <f t="shared" si="51"/>
        <v>0.4848</v>
      </c>
      <c r="L798" s="3">
        <v>7.85</v>
      </c>
      <c r="M798">
        <f>((8.28-L798)/8.28)*100</f>
        <v>5.1932367149758418</v>
      </c>
    </row>
    <row r="799" spans="1:13" x14ac:dyDescent="0.35">
      <c r="A799" s="1" t="s">
        <v>24</v>
      </c>
      <c r="B799" t="str">
        <f t="shared" si="49"/>
        <v>C1814</v>
      </c>
      <c r="C799" t="str">
        <f t="shared" si="48"/>
        <v>C</v>
      </c>
      <c r="D799" t="s">
        <v>4</v>
      </c>
      <c r="E799">
        <v>14</v>
      </c>
      <c r="F799" s="2" t="s">
        <v>2509</v>
      </c>
      <c r="G799" s="2" t="s">
        <v>2510</v>
      </c>
      <c r="H799" s="2" t="s">
        <v>2511</v>
      </c>
      <c r="I799" s="2" t="str">
        <f t="shared" si="50"/>
        <v>1.077</v>
      </c>
      <c r="J799" s="2" t="str">
        <f t="shared" si="51"/>
        <v>37.319</v>
      </c>
      <c r="K799" s="2" t="str">
        <f t="shared" si="51"/>
        <v>0.5109</v>
      </c>
      <c r="L799" s="3">
        <v>8.16</v>
      </c>
      <c r="M799">
        <f>((8.57-L799)/8.57)*100</f>
        <v>4.7841306884480757</v>
      </c>
    </row>
    <row r="800" spans="1:13" x14ac:dyDescent="0.35">
      <c r="A800" s="1" t="s">
        <v>25</v>
      </c>
      <c r="B800" t="str">
        <f t="shared" si="49"/>
        <v>C1914</v>
      </c>
      <c r="C800" t="str">
        <f t="shared" si="48"/>
        <v>C</v>
      </c>
      <c r="D800" t="s">
        <v>4</v>
      </c>
      <c r="E800">
        <v>14</v>
      </c>
      <c r="F800" s="2" t="s">
        <v>2512</v>
      </c>
      <c r="G800" s="2" t="s">
        <v>2513</v>
      </c>
      <c r="H800" s="2" t="s">
        <v>2514</v>
      </c>
      <c r="I800" s="2" t="str">
        <f t="shared" si="50"/>
        <v>0.476</v>
      </c>
      <c r="J800" s="2" t="str">
        <f t="shared" si="51"/>
        <v>35.436</v>
      </c>
      <c r="K800" s="2" t="str">
        <f t="shared" si="51"/>
        <v>0.2386</v>
      </c>
      <c r="L800" s="3">
        <v>8.4700000000000006</v>
      </c>
      <c r="M800">
        <f>((8.79-L800)/8.79)*100</f>
        <v>3.6405005688281968</v>
      </c>
    </row>
    <row r="801" spans="1:13" x14ac:dyDescent="0.35">
      <c r="A801" s="1" t="s">
        <v>26</v>
      </c>
      <c r="B801" t="str">
        <f t="shared" si="49"/>
        <v>C2014</v>
      </c>
      <c r="C801" t="str">
        <f t="shared" si="48"/>
        <v>C</v>
      </c>
      <c r="D801" t="s">
        <v>4</v>
      </c>
      <c r="E801">
        <v>14</v>
      </c>
      <c r="F801" s="2" t="s">
        <v>2515</v>
      </c>
      <c r="G801" s="2" t="s">
        <v>2516</v>
      </c>
      <c r="H801" s="2" t="s">
        <v>2517</v>
      </c>
      <c r="I801" s="2" t="str">
        <f t="shared" si="50"/>
        <v>1.159</v>
      </c>
      <c r="J801" s="2" t="str">
        <f t="shared" si="51"/>
        <v>34.904</v>
      </c>
      <c r="K801" s="2" t="str">
        <f t="shared" si="51"/>
        <v>0.5864</v>
      </c>
      <c r="L801" s="3">
        <v>8.23</v>
      </c>
      <c r="M801">
        <f>((8.56-L801)/8.56)*100</f>
        <v>3.8551401869158881</v>
      </c>
    </row>
    <row r="802" spans="1:13" x14ac:dyDescent="0.35">
      <c r="A802" s="1" t="s">
        <v>27</v>
      </c>
      <c r="B802" t="str">
        <f t="shared" si="49"/>
        <v>C2114</v>
      </c>
      <c r="C802" t="str">
        <f t="shared" si="48"/>
        <v>C</v>
      </c>
      <c r="D802" t="s">
        <v>4</v>
      </c>
      <c r="E802">
        <v>14</v>
      </c>
      <c r="F802" s="2" t="s">
        <v>2518</v>
      </c>
      <c r="G802" s="2" t="s">
        <v>2519</v>
      </c>
      <c r="H802" s="2" t="s">
        <v>2520</v>
      </c>
      <c r="I802" s="2" t="str">
        <f t="shared" si="50"/>
        <v>0.828</v>
      </c>
      <c r="J802" s="2" t="str">
        <f t="shared" si="51"/>
        <v>36.053</v>
      </c>
      <c r="K802" s="2" t="str">
        <f t="shared" si="51"/>
        <v>0.4032</v>
      </c>
      <c r="L802" s="3">
        <v>11.24</v>
      </c>
      <c r="M802">
        <f>((11.72-L802)/11.72)*100</f>
        <v>4.0955631399317438</v>
      </c>
    </row>
    <row r="803" spans="1:13" x14ac:dyDescent="0.35">
      <c r="A803" s="1" t="s">
        <v>28</v>
      </c>
      <c r="B803" t="str">
        <f t="shared" si="49"/>
        <v>C2214</v>
      </c>
      <c r="C803" t="str">
        <f t="shared" si="48"/>
        <v>C</v>
      </c>
      <c r="D803" t="s">
        <v>4</v>
      </c>
      <c r="E803">
        <v>14</v>
      </c>
      <c r="F803" s="2" t="s">
        <v>2521</v>
      </c>
      <c r="G803" s="2" t="s">
        <v>2522</v>
      </c>
      <c r="H803" s="2" t="s">
        <v>2523</v>
      </c>
      <c r="I803" s="2" t="str">
        <f t="shared" si="50"/>
        <v>0.415</v>
      </c>
      <c r="J803" s="2" t="str">
        <f t="shared" si="51"/>
        <v>34.880</v>
      </c>
      <c r="K803" s="2" t="str">
        <f t="shared" si="51"/>
        <v>0.2109</v>
      </c>
      <c r="L803" s="3">
        <v>9.6300000000000008</v>
      </c>
      <c r="M803">
        <f>((10.19-L803)/10.19)*100</f>
        <v>5.495583905789978</v>
      </c>
    </row>
    <row r="804" spans="1:13" x14ac:dyDescent="0.35">
      <c r="A804" s="1" t="s">
        <v>29</v>
      </c>
      <c r="B804" t="str">
        <f t="shared" si="49"/>
        <v>C2314</v>
      </c>
      <c r="C804" t="str">
        <f t="shared" si="48"/>
        <v>C</v>
      </c>
      <c r="D804" t="s">
        <v>4</v>
      </c>
      <c r="E804">
        <v>14</v>
      </c>
      <c r="F804" s="2" t="s">
        <v>2524</v>
      </c>
      <c r="G804" s="2" t="s">
        <v>2525</v>
      </c>
      <c r="H804" s="2" t="s">
        <v>2526</v>
      </c>
      <c r="I804" s="2" t="str">
        <f t="shared" si="50"/>
        <v>1.079</v>
      </c>
      <c r="J804" s="2" t="str">
        <f t="shared" si="51"/>
        <v>36.376</v>
      </c>
      <c r="K804" s="2" t="str">
        <f t="shared" si="51"/>
        <v>0.5263</v>
      </c>
      <c r="L804" s="3">
        <v>6.2</v>
      </c>
      <c r="M804">
        <f>((6.69-L804)/6.69)*100</f>
        <v>7.3243647234678644</v>
      </c>
    </row>
    <row r="805" spans="1:13" x14ac:dyDescent="0.35">
      <c r="A805" s="1" t="s">
        <v>30</v>
      </c>
      <c r="B805" t="str">
        <f t="shared" si="49"/>
        <v>C2414</v>
      </c>
      <c r="C805" t="str">
        <f t="shared" si="48"/>
        <v>C</v>
      </c>
      <c r="D805" t="s">
        <v>4</v>
      </c>
      <c r="E805">
        <v>14</v>
      </c>
      <c r="F805" s="2" t="s">
        <v>2527</v>
      </c>
      <c r="G805" s="2" t="s">
        <v>2528</v>
      </c>
      <c r="H805" s="2" t="s">
        <v>2529</v>
      </c>
      <c r="I805" s="2" t="str">
        <f t="shared" si="50"/>
        <v>0.430</v>
      </c>
      <c r="J805" s="2" t="str">
        <f t="shared" si="51"/>
        <v>35.016</v>
      </c>
      <c r="K805" s="2" t="str">
        <f t="shared" si="51"/>
        <v>0.2182</v>
      </c>
      <c r="L805" s="3">
        <v>6.29</v>
      </c>
      <c r="M805">
        <f>((6.98-L805)/6.98)*100</f>
        <v>9.8853868194842462</v>
      </c>
    </row>
    <row r="806" spans="1:13" x14ac:dyDescent="0.35">
      <c r="A806" s="1" t="s">
        <v>31</v>
      </c>
      <c r="B806" t="str">
        <f t="shared" si="49"/>
        <v>C2514</v>
      </c>
      <c r="C806" t="str">
        <f t="shared" si="48"/>
        <v>C</v>
      </c>
      <c r="D806" t="s">
        <v>4</v>
      </c>
      <c r="E806">
        <v>14</v>
      </c>
      <c r="F806" s="2" t="s">
        <v>2530</v>
      </c>
      <c r="G806" s="2" t="s">
        <v>2531</v>
      </c>
      <c r="H806" s="2" t="s">
        <v>2532</v>
      </c>
      <c r="I806" s="2" t="str">
        <f t="shared" si="50"/>
        <v>0.630</v>
      </c>
      <c r="J806" s="2" t="str">
        <f t="shared" si="51"/>
        <v>36.018</v>
      </c>
      <c r="K806" s="2" t="str">
        <f t="shared" si="51"/>
        <v>0.3093</v>
      </c>
      <c r="L806" s="3">
        <v>11.29</v>
      </c>
      <c r="M806">
        <f>((11.74-L806)/11.74)*100</f>
        <v>3.8330494037478799</v>
      </c>
    </row>
    <row r="807" spans="1:13" x14ac:dyDescent="0.35">
      <c r="A807" s="1" t="s">
        <v>32</v>
      </c>
      <c r="B807" t="str">
        <f t="shared" si="49"/>
        <v>C2614</v>
      </c>
      <c r="C807" t="str">
        <f t="shared" si="48"/>
        <v>C</v>
      </c>
      <c r="D807" t="s">
        <v>4</v>
      </c>
      <c r="E807">
        <v>14</v>
      </c>
      <c r="F807" s="2" t="s">
        <v>2533</v>
      </c>
      <c r="G807" s="2" t="s">
        <v>2534</v>
      </c>
      <c r="H807" s="2" t="s">
        <v>2535</v>
      </c>
      <c r="I807" s="2" t="str">
        <f t="shared" si="50"/>
        <v>0.898</v>
      </c>
      <c r="J807" s="2" t="str">
        <f t="shared" si="51"/>
        <v>36.758</v>
      </c>
      <c r="K807" s="2" t="str">
        <f t="shared" si="51"/>
        <v>0.4337</v>
      </c>
      <c r="L807" s="3">
        <v>6.41</v>
      </c>
      <c r="M807">
        <f>((6.81-L807)/6.81)*100</f>
        <v>5.8737151248164388</v>
      </c>
    </row>
    <row r="808" spans="1:13" x14ac:dyDescent="0.35">
      <c r="A808" s="1" t="s">
        <v>33</v>
      </c>
      <c r="B808" t="str">
        <f t="shared" si="49"/>
        <v>C2714</v>
      </c>
      <c r="C808" t="str">
        <f t="shared" si="48"/>
        <v>C</v>
      </c>
      <c r="D808" t="s">
        <v>4</v>
      </c>
      <c r="E808">
        <v>14</v>
      </c>
      <c r="F808" s="2" t="s">
        <v>2536</v>
      </c>
      <c r="G808" s="2" t="s">
        <v>2537</v>
      </c>
      <c r="H808" s="2" t="s">
        <v>2538</v>
      </c>
      <c r="I808" s="2" t="str">
        <f t="shared" si="50"/>
        <v>0.615</v>
      </c>
      <c r="J808" s="2" t="str">
        <f t="shared" si="51"/>
        <v>35.497</v>
      </c>
      <c r="K808" s="2" t="str">
        <f t="shared" si="51"/>
        <v>0.3083</v>
      </c>
      <c r="L808" s="3">
        <v>12.74</v>
      </c>
      <c r="M808">
        <f>((13.23-L808)/13.23)*100</f>
        <v>3.7037037037037051</v>
      </c>
    </row>
    <row r="809" spans="1:13" x14ac:dyDescent="0.35">
      <c r="A809" s="1" t="s">
        <v>34</v>
      </c>
      <c r="B809" t="str">
        <f t="shared" si="49"/>
        <v>C2814</v>
      </c>
      <c r="C809" t="str">
        <f t="shared" si="48"/>
        <v>C</v>
      </c>
      <c r="D809" t="s">
        <v>4</v>
      </c>
      <c r="E809">
        <v>14</v>
      </c>
      <c r="F809" s="2" t="s">
        <v>2539</v>
      </c>
      <c r="G809" s="2" t="s">
        <v>2540</v>
      </c>
      <c r="H809" s="2" t="s">
        <v>2541</v>
      </c>
      <c r="I809" s="2" t="str">
        <f t="shared" si="50"/>
        <v>0.483</v>
      </c>
      <c r="J809" s="2" t="str">
        <f t="shared" si="51"/>
        <v>36.292</v>
      </c>
      <c r="K809" s="2" t="str">
        <f t="shared" si="51"/>
        <v>0.2359</v>
      </c>
      <c r="L809" s="3">
        <v>10.11</v>
      </c>
      <c r="M809">
        <f>((10.74-L809)/10.74)*100</f>
        <v>5.865921787709504</v>
      </c>
    </row>
    <row r="810" spans="1:13" x14ac:dyDescent="0.35">
      <c r="A810" s="1" t="s">
        <v>35</v>
      </c>
      <c r="B810" t="str">
        <f t="shared" si="49"/>
        <v>C2914</v>
      </c>
      <c r="C810" t="str">
        <f t="shared" si="48"/>
        <v>C</v>
      </c>
      <c r="D810" t="s">
        <v>4</v>
      </c>
      <c r="E810">
        <v>14</v>
      </c>
      <c r="F810" s="2" t="s">
        <v>2542</v>
      </c>
      <c r="G810" s="2" t="s">
        <v>2543</v>
      </c>
      <c r="H810" s="2" t="s">
        <v>2544</v>
      </c>
      <c r="I810" s="2" t="str">
        <f t="shared" si="50"/>
        <v>0.997</v>
      </c>
      <c r="J810" s="2" t="str">
        <f t="shared" si="51"/>
        <v>36.985</v>
      </c>
      <c r="K810" s="2" t="str">
        <f t="shared" si="51"/>
        <v>0.4765</v>
      </c>
      <c r="L810" s="3">
        <v>11.18</v>
      </c>
      <c r="M810">
        <f>((11.59-L810)/11.59)*100</f>
        <v>3.5375323554788625</v>
      </c>
    </row>
    <row r="811" spans="1:13" x14ac:dyDescent="0.35">
      <c r="A811" s="1" t="s">
        <v>36</v>
      </c>
      <c r="B811" t="str">
        <f t="shared" si="49"/>
        <v>C3014</v>
      </c>
      <c r="C811" t="str">
        <f t="shared" si="48"/>
        <v>C</v>
      </c>
      <c r="D811" t="s">
        <v>4</v>
      </c>
      <c r="E811">
        <v>14</v>
      </c>
      <c r="F811" s="2" t="s">
        <v>2545</v>
      </c>
      <c r="G811" s="2" t="s">
        <v>2546</v>
      </c>
      <c r="H811" s="2" t="s">
        <v>2547</v>
      </c>
      <c r="I811" s="2" t="str">
        <f t="shared" si="50"/>
        <v>1.064</v>
      </c>
      <c r="J811" s="2" t="str">
        <f t="shared" si="51"/>
        <v>36.019</v>
      </c>
      <c r="K811" s="2" t="str">
        <f t="shared" si="51"/>
        <v>0.5233</v>
      </c>
      <c r="L811" s="3">
        <v>8.8699999999999992</v>
      </c>
      <c r="M811">
        <f>((9.38-L811)/9.38)*100</f>
        <v>5.4371002132196322</v>
      </c>
    </row>
    <row r="812" spans="1:13" x14ac:dyDescent="0.35">
      <c r="A812" s="1" t="s">
        <v>7</v>
      </c>
      <c r="B812" t="str">
        <f t="shared" si="49"/>
        <v>R0114</v>
      </c>
      <c r="C812" t="str">
        <f t="shared" si="48"/>
        <v>R</v>
      </c>
      <c r="D812" t="s">
        <v>5</v>
      </c>
      <c r="E812">
        <v>14</v>
      </c>
      <c r="F812" s="2" t="s">
        <v>2368</v>
      </c>
      <c r="G812" s="2" t="s">
        <v>2369</v>
      </c>
      <c r="H812" s="2" t="s">
        <v>2370</v>
      </c>
      <c r="I812" s="2" t="str">
        <f t="shared" si="50"/>
        <v>0.683</v>
      </c>
      <c r="J812" s="2" t="str">
        <f t="shared" si="51"/>
        <v>30.970</v>
      </c>
      <c r="K812" s="2" t="str">
        <f t="shared" si="51"/>
        <v>0.3924</v>
      </c>
      <c r="L812" s="3">
        <v>8.7100000000000009</v>
      </c>
      <c r="M812">
        <f>((10.2-L812)/10.2)*100</f>
        <v>14.607843137254889</v>
      </c>
    </row>
    <row r="813" spans="1:13" x14ac:dyDescent="0.35">
      <c r="A813" s="1" t="s">
        <v>8</v>
      </c>
      <c r="B813" t="str">
        <f t="shared" si="49"/>
        <v>R0214</v>
      </c>
      <c r="C813" t="str">
        <f t="shared" si="48"/>
        <v>R</v>
      </c>
      <c r="D813" t="s">
        <v>5</v>
      </c>
      <c r="E813">
        <v>14</v>
      </c>
      <c r="F813" s="2" t="s">
        <v>2371</v>
      </c>
      <c r="G813" s="2" t="s">
        <v>2372</v>
      </c>
      <c r="H813" s="2" t="s">
        <v>2373</v>
      </c>
      <c r="I813" s="2" t="str">
        <f t="shared" si="50"/>
        <v>1.070</v>
      </c>
      <c r="J813" s="2" t="str">
        <f t="shared" si="51"/>
        <v>33.915</v>
      </c>
      <c r="K813" s="2" t="str">
        <f t="shared" si="51"/>
        <v>0.5593</v>
      </c>
      <c r="L813" s="3">
        <v>7.73</v>
      </c>
      <c r="M813">
        <f>((8.9-L813)/8.9)*100</f>
        <v>13.146067415730336</v>
      </c>
    </row>
    <row r="814" spans="1:13" x14ac:dyDescent="0.35">
      <c r="A814" s="1" t="s">
        <v>21</v>
      </c>
      <c r="B814" t="str">
        <f t="shared" si="49"/>
        <v>R0314</v>
      </c>
      <c r="C814" t="str">
        <f t="shared" si="48"/>
        <v>R</v>
      </c>
      <c r="D814" t="s">
        <v>5</v>
      </c>
      <c r="E814">
        <v>14</v>
      </c>
      <c r="F814" s="2" t="s">
        <v>2374</v>
      </c>
      <c r="G814" s="2" t="s">
        <v>2375</v>
      </c>
      <c r="H814" s="2" t="s">
        <v>2376</v>
      </c>
      <c r="I814" s="2" t="str">
        <f t="shared" si="50"/>
        <v>0.709</v>
      </c>
      <c r="J814" s="2" t="str">
        <f t="shared" si="51"/>
        <v>31.281</v>
      </c>
      <c r="K814" s="2" t="str">
        <f t="shared" si="51"/>
        <v>0.4014</v>
      </c>
      <c r="L814" s="3">
        <v>6.68</v>
      </c>
      <c r="M814">
        <f>((7.72-L814)/7.72)*100</f>
        <v>13.471502590673575</v>
      </c>
    </row>
    <row r="815" spans="1:13" x14ac:dyDescent="0.35">
      <c r="A815" s="1" t="s">
        <v>9</v>
      </c>
      <c r="B815" t="str">
        <f t="shared" si="49"/>
        <v>R0414</v>
      </c>
      <c r="C815" t="str">
        <f t="shared" si="48"/>
        <v>R</v>
      </c>
      <c r="D815" t="s">
        <v>5</v>
      </c>
      <c r="E815">
        <v>14</v>
      </c>
      <c r="F815" s="2" t="s">
        <v>2383</v>
      </c>
      <c r="G815" s="2" t="s">
        <v>2384</v>
      </c>
      <c r="H815" s="2" t="s">
        <v>2385</v>
      </c>
      <c r="I815" s="2" t="str">
        <f t="shared" si="50"/>
        <v>0.762</v>
      </c>
      <c r="J815" s="2" t="str">
        <f t="shared" si="51"/>
        <v>31.215</v>
      </c>
      <c r="K815" s="2" t="str">
        <f t="shared" si="51"/>
        <v>0.4320</v>
      </c>
      <c r="L815" s="3">
        <v>5.65</v>
      </c>
      <c r="M815">
        <f>((6.71-L815)/6.71)*100</f>
        <v>15.797317436661693</v>
      </c>
    </row>
    <row r="816" spans="1:13" x14ac:dyDescent="0.35">
      <c r="A816" s="1" t="s">
        <v>10</v>
      </c>
      <c r="B816" t="str">
        <f t="shared" si="49"/>
        <v>R0514</v>
      </c>
      <c r="C816" t="str">
        <f t="shared" si="48"/>
        <v>R</v>
      </c>
      <c r="D816" t="s">
        <v>5</v>
      </c>
      <c r="E816">
        <v>14</v>
      </c>
      <c r="F816" s="2" t="s">
        <v>2377</v>
      </c>
      <c r="G816" s="2" t="s">
        <v>2378</v>
      </c>
      <c r="H816" s="2" t="s">
        <v>2379</v>
      </c>
      <c r="I816" s="2" t="str">
        <f t="shared" si="50"/>
        <v>0.962</v>
      </c>
      <c r="J816" s="2" t="str">
        <f t="shared" si="51"/>
        <v>36.678</v>
      </c>
      <c r="K816" s="2" t="str">
        <f t="shared" si="51"/>
        <v>0.4644</v>
      </c>
      <c r="L816" s="3">
        <v>6.39</v>
      </c>
      <c r="M816">
        <f>((7.58-L816)/7.58)*100</f>
        <v>15.699208443271772</v>
      </c>
    </row>
    <row r="817" spans="1:13" x14ac:dyDescent="0.35">
      <c r="A817" s="1" t="s">
        <v>11</v>
      </c>
      <c r="B817" t="str">
        <f t="shared" si="49"/>
        <v>R0614</v>
      </c>
      <c r="C817" t="str">
        <f t="shared" si="48"/>
        <v>R</v>
      </c>
      <c r="D817" t="s">
        <v>5</v>
      </c>
      <c r="E817">
        <v>14</v>
      </c>
      <c r="F817" s="2" t="s">
        <v>2380</v>
      </c>
      <c r="G817" s="2" t="s">
        <v>2381</v>
      </c>
      <c r="H817" s="2" t="s">
        <v>2382</v>
      </c>
      <c r="I817" s="2" t="str">
        <f t="shared" si="50"/>
        <v>0.554</v>
      </c>
      <c r="J817" s="2" t="str">
        <f t="shared" si="51"/>
        <v>34.038</v>
      </c>
      <c r="K817" s="2" t="str">
        <f t="shared" si="51"/>
        <v>0.2885</v>
      </c>
      <c r="L817" s="3">
        <v>7.29</v>
      </c>
      <c r="M817">
        <f>((8.47-L817)/8.47)*100</f>
        <v>13.931523022432119</v>
      </c>
    </row>
    <row r="818" spans="1:13" x14ac:dyDescent="0.35">
      <c r="A818" s="1" t="s">
        <v>12</v>
      </c>
      <c r="B818" t="str">
        <f t="shared" si="49"/>
        <v>R0714</v>
      </c>
      <c r="C818" t="str">
        <f t="shared" si="48"/>
        <v>R</v>
      </c>
      <c r="D818" t="s">
        <v>5</v>
      </c>
      <c r="E818">
        <v>14</v>
      </c>
      <c r="F818" s="2" t="s">
        <v>2386</v>
      </c>
      <c r="G818" s="2" t="s">
        <v>2387</v>
      </c>
      <c r="H818" s="2" t="s">
        <v>2388</v>
      </c>
      <c r="I818" s="2" t="str">
        <f t="shared" si="50"/>
        <v>0.884</v>
      </c>
      <c r="J818" s="2" t="str">
        <f t="shared" si="51"/>
        <v>28.390</v>
      </c>
      <c r="K818" s="2" t="str">
        <f t="shared" si="51"/>
        <v>0.5744</v>
      </c>
      <c r="L818" s="3">
        <v>8.42</v>
      </c>
      <c r="M818">
        <f>((9.75-L818)/9.75)*100</f>
        <v>13.641025641025642</v>
      </c>
    </row>
    <row r="819" spans="1:13" x14ac:dyDescent="0.35">
      <c r="A819" s="1" t="s">
        <v>13</v>
      </c>
      <c r="B819" t="str">
        <f t="shared" si="49"/>
        <v>R0814</v>
      </c>
      <c r="C819" t="str">
        <f t="shared" si="48"/>
        <v>R</v>
      </c>
      <c r="D819" t="s">
        <v>5</v>
      </c>
      <c r="E819">
        <v>14</v>
      </c>
      <c r="F819" s="2" t="s">
        <v>2389</v>
      </c>
      <c r="G819" s="2" t="s">
        <v>2390</v>
      </c>
      <c r="H819" s="2" t="s">
        <v>2391</v>
      </c>
      <c r="I819" s="2" t="str">
        <f t="shared" si="50"/>
        <v>0.590</v>
      </c>
      <c r="J819" s="2" t="str">
        <f t="shared" si="51"/>
        <v>36.498</v>
      </c>
      <c r="K819" s="2" t="str">
        <f t="shared" si="51"/>
        <v>0.2862</v>
      </c>
      <c r="L819" s="3">
        <v>9.3699999999999992</v>
      </c>
      <c r="M819">
        <f>((10.46-L819)/10.46)*100</f>
        <v>10.420650095602308</v>
      </c>
    </row>
    <row r="820" spans="1:13" x14ac:dyDescent="0.35">
      <c r="A820" s="1" t="s">
        <v>14</v>
      </c>
      <c r="B820" t="str">
        <f t="shared" si="49"/>
        <v>R0914</v>
      </c>
      <c r="C820" t="str">
        <f t="shared" si="48"/>
        <v>R</v>
      </c>
      <c r="D820" t="s">
        <v>5</v>
      </c>
      <c r="E820">
        <v>14</v>
      </c>
      <c r="F820" s="2" t="s">
        <v>2392</v>
      </c>
      <c r="G820" s="2" t="s">
        <v>2393</v>
      </c>
      <c r="H820" s="2" t="s">
        <v>2394</v>
      </c>
      <c r="I820" s="2" t="str">
        <f t="shared" si="50"/>
        <v>1.132</v>
      </c>
      <c r="J820" s="2" t="str">
        <f t="shared" si="51"/>
        <v>34.467</v>
      </c>
      <c r="K820" s="2" t="str">
        <f t="shared" si="51"/>
        <v>0.5816</v>
      </c>
      <c r="L820" s="3">
        <v>8.57</v>
      </c>
      <c r="M820">
        <f>((9.52-L820)/9.52)*100</f>
        <v>9.9789915966386484</v>
      </c>
    </row>
    <row r="821" spans="1:13" x14ac:dyDescent="0.35">
      <c r="A821" s="1" t="s">
        <v>15</v>
      </c>
      <c r="B821" t="str">
        <f t="shared" si="49"/>
        <v>R1014</v>
      </c>
      <c r="C821" t="str">
        <f t="shared" si="48"/>
        <v>R</v>
      </c>
      <c r="D821" t="s">
        <v>5</v>
      </c>
      <c r="E821">
        <v>14</v>
      </c>
      <c r="F821" s="2" t="s">
        <v>2395</v>
      </c>
      <c r="G821" s="2" t="s">
        <v>2396</v>
      </c>
      <c r="H821" s="2" t="s">
        <v>2397</v>
      </c>
      <c r="I821" s="2" t="str">
        <f t="shared" si="50"/>
        <v>0.505</v>
      </c>
      <c r="J821" s="2" t="str">
        <f t="shared" si="51"/>
        <v>32.193</v>
      </c>
      <c r="K821" s="2" t="str">
        <f t="shared" si="51"/>
        <v>0.2776</v>
      </c>
      <c r="L821" s="3">
        <v>13.3</v>
      </c>
      <c r="M821">
        <f>((14.55-L821)/14.55)*100</f>
        <v>8.5910652920962196</v>
      </c>
    </row>
    <row r="822" spans="1:13" x14ac:dyDescent="0.35">
      <c r="A822" s="1" t="s">
        <v>16</v>
      </c>
      <c r="B822" t="str">
        <f t="shared" si="49"/>
        <v>R1114</v>
      </c>
      <c r="C822" t="str">
        <f t="shared" si="48"/>
        <v>R</v>
      </c>
      <c r="D822" t="s">
        <v>5</v>
      </c>
      <c r="E822">
        <v>14</v>
      </c>
      <c r="F822" s="2" t="s">
        <v>2398</v>
      </c>
      <c r="G822" s="2" t="s">
        <v>2399</v>
      </c>
      <c r="H822" s="2" t="s">
        <v>2400</v>
      </c>
      <c r="I822" s="2" t="str">
        <f t="shared" si="50"/>
        <v>0.717</v>
      </c>
      <c r="J822" s="2" t="str">
        <f t="shared" si="51"/>
        <v>30.273</v>
      </c>
      <c r="K822" s="2" t="str">
        <f t="shared" si="51"/>
        <v>0.4183</v>
      </c>
      <c r="L822" s="3">
        <v>7.77</v>
      </c>
      <c r="M822">
        <f>((8.99-L822)/8.99)*100</f>
        <v>13.570634037819806</v>
      </c>
    </row>
    <row r="823" spans="1:13" x14ac:dyDescent="0.35">
      <c r="A823" s="1" t="s">
        <v>17</v>
      </c>
      <c r="B823" t="str">
        <f t="shared" si="49"/>
        <v>R1214</v>
      </c>
      <c r="C823" t="str">
        <f t="shared" si="48"/>
        <v>R</v>
      </c>
      <c r="D823" t="s">
        <v>5</v>
      </c>
      <c r="E823">
        <v>14</v>
      </c>
      <c r="F823" s="2" t="s">
        <v>2401</v>
      </c>
      <c r="G823" s="2" t="s">
        <v>2402</v>
      </c>
      <c r="H823" s="2" t="s">
        <v>2403</v>
      </c>
      <c r="I823" s="2" t="str">
        <f t="shared" si="50"/>
        <v>0.678</v>
      </c>
      <c r="J823" s="2" t="str">
        <f t="shared" si="51"/>
        <v>32.643</v>
      </c>
      <c r="K823" s="2" t="str">
        <f t="shared" si="51"/>
        <v>0.3674</v>
      </c>
      <c r="L823" s="3">
        <v>8.3000000000000007</v>
      </c>
      <c r="M823">
        <f>((9.52-L823)/9.52)*100</f>
        <v>12.815126050420156</v>
      </c>
    </row>
    <row r="824" spans="1:13" x14ac:dyDescent="0.35">
      <c r="A824" s="1" t="s">
        <v>18</v>
      </c>
      <c r="B824" t="str">
        <f t="shared" si="49"/>
        <v>R1314</v>
      </c>
      <c r="C824" t="str">
        <f t="shared" si="48"/>
        <v>R</v>
      </c>
      <c r="D824" t="s">
        <v>5</v>
      </c>
      <c r="E824">
        <v>14</v>
      </c>
      <c r="F824" s="2" t="s">
        <v>2404</v>
      </c>
      <c r="G824" s="2" t="s">
        <v>2405</v>
      </c>
      <c r="H824" s="2" t="s">
        <v>2406</v>
      </c>
      <c r="I824" s="2" t="str">
        <f t="shared" si="50"/>
        <v>0.998</v>
      </c>
      <c r="J824" s="2" t="str">
        <f t="shared" si="51"/>
        <v>28.187</v>
      </c>
      <c r="K824" s="2" t="str">
        <f t="shared" si="51"/>
        <v>0.6265</v>
      </c>
      <c r="L824" s="3">
        <v>8.65</v>
      </c>
      <c r="M824">
        <f>((10.58-L824)/10.58)*100</f>
        <v>18.241965973534967</v>
      </c>
    </row>
    <row r="825" spans="1:13" x14ac:dyDescent="0.35">
      <c r="A825" s="1" t="s">
        <v>19</v>
      </c>
      <c r="B825" t="str">
        <f t="shared" si="49"/>
        <v>R1414</v>
      </c>
      <c r="C825" t="str">
        <f t="shared" si="48"/>
        <v>R</v>
      </c>
      <c r="D825" t="s">
        <v>5</v>
      </c>
      <c r="E825">
        <v>14</v>
      </c>
      <c r="F825" s="2" t="s">
        <v>2407</v>
      </c>
      <c r="G825" s="2" t="s">
        <v>2408</v>
      </c>
      <c r="H825" s="2" t="s">
        <v>2409</v>
      </c>
      <c r="I825" s="2" t="str">
        <f t="shared" si="50"/>
        <v>0.525</v>
      </c>
      <c r="J825" s="2" t="str">
        <f t="shared" si="51"/>
        <v>34.813</v>
      </c>
      <c r="K825" s="2" t="str">
        <f t="shared" si="51"/>
        <v>0.2670</v>
      </c>
      <c r="L825" s="3">
        <v>9.98</v>
      </c>
      <c r="M825">
        <f>((11.2-L825)/11.2)*100</f>
        <v>10.892857142857133</v>
      </c>
    </row>
    <row r="826" spans="1:13" x14ac:dyDescent="0.35">
      <c r="A826" s="1" t="s">
        <v>20</v>
      </c>
      <c r="B826" t="str">
        <f t="shared" si="49"/>
        <v>R1514</v>
      </c>
      <c r="C826" t="str">
        <f t="shared" si="48"/>
        <v>R</v>
      </c>
      <c r="D826" t="s">
        <v>5</v>
      </c>
      <c r="E826">
        <v>14</v>
      </c>
      <c r="F826" s="2" t="s">
        <v>2410</v>
      </c>
      <c r="G826" s="2" t="s">
        <v>2411</v>
      </c>
      <c r="H826" s="2" t="s">
        <v>2412</v>
      </c>
      <c r="I826" s="2" t="str">
        <f t="shared" si="50"/>
        <v>0.613</v>
      </c>
      <c r="J826" s="2" t="str">
        <f t="shared" si="51"/>
        <v>35.797</v>
      </c>
      <c r="K826" s="2" t="str">
        <f t="shared" si="51"/>
        <v>0.3037</v>
      </c>
      <c r="L826" s="3">
        <v>8.82</v>
      </c>
      <c r="M826">
        <f>((10.33-L826)/10.33)*100</f>
        <v>14.617618586640848</v>
      </c>
    </row>
    <row r="827" spans="1:13" x14ac:dyDescent="0.35">
      <c r="A827" s="1" t="s">
        <v>22</v>
      </c>
      <c r="B827" t="str">
        <f t="shared" si="49"/>
        <v>R1614</v>
      </c>
      <c r="C827" t="str">
        <f t="shared" ref="C827:C890" si="52">LEFT(D827,1)</f>
        <v>R</v>
      </c>
      <c r="D827" t="s">
        <v>5</v>
      </c>
      <c r="E827">
        <v>14</v>
      </c>
      <c r="F827" s="2" t="s">
        <v>2413</v>
      </c>
      <c r="G827" s="2" t="s">
        <v>2414</v>
      </c>
      <c r="H827" s="2" t="s">
        <v>2415</v>
      </c>
      <c r="I827" s="2" t="str">
        <f t="shared" si="50"/>
        <v>0.742</v>
      </c>
      <c r="J827" s="2" t="str">
        <f t="shared" si="51"/>
        <v>35.576</v>
      </c>
      <c r="K827" s="2" t="str">
        <f t="shared" si="51"/>
        <v>0.3691</v>
      </c>
      <c r="L827" s="3">
        <v>7.3</v>
      </c>
      <c r="M827">
        <f>((8.36-L827)/8.36)*100</f>
        <v>12.67942583732057</v>
      </c>
    </row>
    <row r="828" spans="1:13" x14ac:dyDescent="0.35">
      <c r="A828" s="1" t="s">
        <v>23</v>
      </c>
      <c r="B828" t="str">
        <f t="shared" si="49"/>
        <v>R1714</v>
      </c>
      <c r="C828" t="str">
        <f t="shared" si="52"/>
        <v>R</v>
      </c>
      <c r="D828" t="s">
        <v>5</v>
      </c>
      <c r="E828">
        <v>14</v>
      </c>
      <c r="F828" s="2" t="s">
        <v>2416</v>
      </c>
      <c r="G828" s="2" t="s">
        <v>2417</v>
      </c>
      <c r="H828" s="2" t="s">
        <v>2418</v>
      </c>
      <c r="I828" s="2" t="str">
        <f t="shared" si="50"/>
        <v>0.791</v>
      </c>
      <c r="J828" s="2" t="str">
        <f t="shared" si="51"/>
        <v>32.288</v>
      </c>
      <c r="K828" s="2" t="str">
        <f t="shared" si="51"/>
        <v>0.4180</v>
      </c>
      <c r="L828" s="3">
        <v>9.5399999999999991</v>
      </c>
      <c r="M828">
        <f>((10.97-L828)/10.97)*100</f>
        <v>13.035551504102111</v>
      </c>
    </row>
    <row r="829" spans="1:13" x14ac:dyDescent="0.35">
      <c r="A829" s="1" t="s">
        <v>24</v>
      </c>
      <c r="B829" t="str">
        <f t="shared" si="49"/>
        <v>R1814</v>
      </c>
      <c r="C829" t="str">
        <f t="shared" si="52"/>
        <v>R</v>
      </c>
      <c r="D829" t="s">
        <v>5</v>
      </c>
      <c r="E829">
        <v>14</v>
      </c>
      <c r="F829" s="2" t="s">
        <v>2419</v>
      </c>
      <c r="G829" s="2" t="s">
        <v>2420</v>
      </c>
      <c r="H829" s="2" t="s">
        <v>2421</v>
      </c>
      <c r="I829" s="2" t="str">
        <f t="shared" si="50"/>
        <v>0.969</v>
      </c>
      <c r="J829" s="2" t="str">
        <f t="shared" si="51"/>
        <v>35.335</v>
      </c>
      <c r="K829" s="2" t="str">
        <f t="shared" si="51"/>
        <v>0.4865</v>
      </c>
      <c r="L829" s="3">
        <v>6.96</v>
      </c>
      <c r="M829">
        <f>((8.03-L829)/8.03)*100</f>
        <v>13.325031133250304</v>
      </c>
    </row>
    <row r="830" spans="1:13" x14ac:dyDescent="0.35">
      <c r="A830" s="1" t="s">
        <v>25</v>
      </c>
      <c r="B830" t="str">
        <f t="shared" si="49"/>
        <v>R1914</v>
      </c>
      <c r="C830" t="str">
        <f t="shared" si="52"/>
        <v>R</v>
      </c>
      <c r="D830" t="s">
        <v>5</v>
      </c>
      <c r="E830">
        <v>14</v>
      </c>
      <c r="F830" s="2" t="s">
        <v>2422</v>
      </c>
      <c r="G830" s="2" t="s">
        <v>2423</v>
      </c>
      <c r="H830" s="2" t="s">
        <v>2424</v>
      </c>
      <c r="I830" s="2" t="str">
        <f t="shared" si="50"/>
        <v>0.496</v>
      </c>
      <c r="J830" s="2" t="str">
        <f t="shared" si="51"/>
        <v>33.415</v>
      </c>
      <c r="K830" s="2" t="str">
        <f t="shared" si="51"/>
        <v>0.2653</v>
      </c>
      <c r="L830" s="3">
        <v>7.68</v>
      </c>
      <c r="M830">
        <f>((8.97-L830)/8.97)*100</f>
        <v>14.381270903010043</v>
      </c>
    </row>
    <row r="831" spans="1:13" x14ac:dyDescent="0.35">
      <c r="A831" s="1" t="s">
        <v>26</v>
      </c>
      <c r="B831" t="str">
        <f t="shared" si="49"/>
        <v>R2014</v>
      </c>
      <c r="C831" t="str">
        <f t="shared" si="52"/>
        <v>R</v>
      </c>
      <c r="D831" t="s">
        <v>5</v>
      </c>
      <c r="E831">
        <v>14</v>
      </c>
      <c r="F831" s="2" t="s">
        <v>2425</v>
      </c>
      <c r="G831" s="2" t="s">
        <v>2426</v>
      </c>
      <c r="H831" s="2" t="s">
        <v>2427</v>
      </c>
      <c r="I831" s="2" t="str">
        <f t="shared" si="50"/>
        <v>0.508</v>
      </c>
      <c r="J831" s="2" t="str">
        <f t="shared" si="51"/>
        <v>33.930</v>
      </c>
      <c r="K831" s="2" t="str">
        <f t="shared" si="51"/>
        <v>0.2654</v>
      </c>
      <c r="L831" s="3">
        <v>8.15</v>
      </c>
      <c r="M831">
        <f>((9.17-L831)/9.17)*100</f>
        <v>11.123227917121042</v>
      </c>
    </row>
    <row r="832" spans="1:13" x14ac:dyDescent="0.35">
      <c r="A832" s="1" t="s">
        <v>27</v>
      </c>
      <c r="B832" t="str">
        <f t="shared" si="49"/>
        <v>R2114</v>
      </c>
      <c r="C832" t="str">
        <f t="shared" si="52"/>
        <v>R</v>
      </c>
      <c r="D832" t="s">
        <v>5</v>
      </c>
      <c r="E832">
        <v>14</v>
      </c>
      <c r="F832" s="2" t="s">
        <v>2428</v>
      </c>
      <c r="G832" s="2" t="s">
        <v>2429</v>
      </c>
      <c r="H832" s="2" t="s">
        <v>2430</v>
      </c>
      <c r="I832" s="2" t="str">
        <f t="shared" si="50"/>
        <v>0.723</v>
      </c>
      <c r="J832" s="2" t="str">
        <f t="shared" si="51"/>
        <v>31.203</v>
      </c>
      <c r="K832" s="2" t="str">
        <f t="shared" si="51"/>
        <v>0.4108</v>
      </c>
      <c r="L832" s="3">
        <v>9.68</v>
      </c>
      <c r="M832">
        <f>((11.02-L832)/11.02)*100</f>
        <v>12.159709618874773</v>
      </c>
    </row>
    <row r="833" spans="1:13" x14ac:dyDescent="0.35">
      <c r="A833" s="1" t="s">
        <v>28</v>
      </c>
      <c r="B833" t="str">
        <f t="shared" si="49"/>
        <v>R2214</v>
      </c>
      <c r="C833" t="str">
        <f t="shared" si="52"/>
        <v>R</v>
      </c>
      <c r="D833" t="s">
        <v>5</v>
      </c>
      <c r="E833">
        <v>14</v>
      </c>
      <c r="F833" s="2" t="s">
        <v>2431</v>
      </c>
      <c r="G833" s="2" t="s">
        <v>2432</v>
      </c>
      <c r="H833" s="2" t="s">
        <v>2433</v>
      </c>
      <c r="I833" s="2" t="str">
        <f t="shared" si="50"/>
        <v>0.641</v>
      </c>
      <c r="J833" s="2" t="str">
        <f t="shared" si="51"/>
        <v>36.465</v>
      </c>
      <c r="K833" s="2" t="str">
        <f t="shared" si="51"/>
        <v>0.3114</v>
      </c>
      <c r="L833" s="3">
        <v>10</v>
      </c>
      <c r="M833">
        <f>((11.2-L833)/11.2)*100</f>
        <v>10.714285714285708</v>
      </c>
    </row>
    <row r="834" spans="1:13" x14ac:dyDescent="0.35">
      <c r="A834" s="1" t="s">
        <v>29</v>
      </c>
      <c r="B834" t="str">
        <f t="shared" si="49"/>
        <v>R2314</v>
      </c>
      <c r="C834" t="str">
        <f t="shared" si="52"/>
        <v>R</v>
      </c>
      <c r="D834" t="s">
        <v>5</v>
      </c>
      <c r="E834">
        <v>14</v>
      </c>
      <c r="F834" s="2" t="s">
        <v>2434</v>
      </c>
      <c r="G834" s="2" t="s">
        <v>2435</v>
      </c>
      <c r="H834" s="2" t="s">
        <v>2436</v>
      </c>
      <c r="I834" s="2" t="str">
        <f t="shared" si="50"/>
        <v>0.525</v>
      </c>
      <c r="J834" s="2" t="str">
        <f t="shared" si="51"/>
        <v>34.752</v>
      </c>
      <c r="K834" s="2" t="str">
        <f t="shared" si="51"/>
        <v>0.2682</v>
      </c>
      <c r="L834" s="3">
        <v>9.3000000000000007</v>
      </c>
      <c r="M834">
        <f>((10.41-L834)/10.41)*100</f>
        <v>10.66282420749279</v>
      </c>
    </row>
    <row r="835" spans="1:13" x14ac:dyDescent="0.35">
      <c r="A835" s="1" t="s">
        <v>30</v>
      </c>
      <c r="B835" t="str">
        <f t="shared" ref="B835:B898" si="53">CONCATENATE(C835,A835,E835)</f>
        <v>R2414</v>
      </c>
      <c r="C835" t="str">
        <f t="shared" si="52"/>
        <v>R</v>
      </c>
      <c r="D835" t="s">
        <v>5</v>
      </c>
      <c r="E835">
        <v>14</v>
      </c>
      <c r="F835" s="2" t="s">
        <v>2437</v>
      </c>
      <c r="G835" s="2" t="s">
        <v>2438</v>
      </c>
      <c r="H835" s="2" t="s">
        <v>2439</v>
      </c>
      <c r="I835" s="2" t="str">
        <f t="shared" ref="I835:I898" si="54">LEFT(F835,5)</f>
        <v>1.107</v>
      </c>
      <c r="J835" s="2" t="str">
        <f t="shared" si="51"/>
        <v>33.952</v>
      </c>
      <c r="K835" s="2" t="str">
        <f t="shared" si="51"/>
        <v>0.5779</v>
      </c>
      <c r="L835" s="3">
        <v>10.5</v>
      </c>
      <c r="M835">
        <f>((11.96-L835)/11.96)*100</f>
        <v>12.207357859531779</v>
      </c>
    </row>
    <row r="836" spans="1:13" x14ac:dyDescent="0.35">
      <c r="A836" s="1" t="s">
        <v>31</v>
      </c>
      <c r="B836" t="str">
        <f t="shared" si="53"/>
        <v>R2514</v>
      </c>
      <c r="C836" t="str">
        <f t="shared" si="52"/>
        <v>R</v>
      </c>
      <c r="D836" t="s">
        <v>5</v>
      </c>
      <c r="E836">
        <v>14</v>
      </c>
      <c r="F836" s="2" t="s">
        <v>2440</v>
      </c>
      <c r="G836" s="2" t="s">
        <v>2441</v>
      </c>
      <c r="H836" s="2" t="s">
        <v>2442</v>
      </c>
      <c r="I836" s="2" t="str">
        <f t="shared" si="54"/>
        <v>0.669</v>
      </c>
      <c r="J836" s="2" t="str">
        <f t="shared" si="51"/>
        <v>34.499</v>
      </c>
      <c r="K836" s="2" t="str">
        <f t="shared" si="51"/>
        <v>0.3432</v>
      </c>
      <c r="L836" s="3">
        <v>10.19</v>
      </c>
      <c r="M836">
        <f>((11.77-L836)/11.77)*100</f>
        <v>13.423959218351742</v>
      </c>
    </row>
    <row r="837" spans="1:13" x14ac:dyDescent="0.35">
      <c r="A837" s="1" t="s">
        <v>32</v>
      </c>
      <c r="B837" t="str">
        <f t="shared" si="53"/>
        <v>R2614</v>
      </c>
      <c r="C837" t="str">
        <f t="shared" si="52"/>
        <v>R</v>
      </c>
      <c r="D837" t="s">
        <v>5</v>
      </c>
      <c r="E837">
        <v>14</v>
      </c>
      <c r="F837" s="2" t="s">
        <v>2443</v>
      </c>
      <c r="G837" s="2" t="s">
        <v>2444</v>
      </c>
      <c r="H837" s="2" t="s">
        <v>2445</v>
      </c>
      <c r="I837" s="2" t="str">
        <f t="shared" si="54"/>
        <v>0.766</v>
      </c>
      <c r="J837" s="2" t="str">
        <f t="shared" ref="J837:K900" si="55">LEFT(G837,6)</f>
        <v>34.756</v>
      </c>
      <c r="K837" s="2" t="str">
        <f t="shared" si="55"/>
        <v>0.3899</v>
      </c>
      <c r="L837" s="3">
        <v>11.32</v>
      </c>
      <c r="M837">
        <f>((12.72-L837)/12.72)*100</f>
        <v>11.006289308176102</v>
      </c>
    </row>
    <row r="838" spans="1:13" x14ac:dyDescent="0.35">
      <c r="A838" s="1" t="s">
        <v>33</v>
      </c>
      <c r="B838" t="str">
        <f t="shared" si="53"/>
        <v>R2714</v>
      </c>
      <c r="C838" t="str">
        <f t="shared" si="52"/>
        <v>R</v>
      </c>
      <c r="D838" t="s">
        <v>5</v>
      </c>
      <c r="E838">
        <v>14</v>
      </c>
      <c r="F838" s="2" t="s">
        <v>2446</v>
      </c>
      <c r="G838" s="2" t="s">
        <v>2447</v>
      </c>
      <c r="H838" s="2" t="s">
        <v>2448</v>
      </c>
      <c r="I838" s="2" t="str">
        <f t="shared" si="54"/>
        <v>1.135</v>
      </c>
      <c r="J838" s="2" t="str">
        <f t="shared" si="55"/>
        <v>35.282</v>
      </c>
      <c r="K838" s="2" t="str">
        <f t="shared" si="55"/>
        <v>0.5698</v>
      </c>
      <c r="L838" s="3">
        <v>11.54</v>
      </c>
      <c r="M838">
        <f>((13.02-L838)/13.02)*100</f>
        <v>11.367127496159759</v>
      </c>
    </row>
    <row r="839" spans="1:13" x14ac:dyDescent="0.35">
      <c r="A839" s="1" t="s">
        <v>34</v>
      </c>
      <c r="B839" t="str">
        <f t="shared" si="53"/>
        <v>R2814</v>
      </c>
      <c r="C839" t="str">
        <f t="shared" si="52"/>
        <v>R</v>
      </c>
      <c r="D839" t="s">
        <v>5</v>
      </c>
      <c r="E839">
        <v>14</v>
      </c>
      <c r="F839" s="2" t="s">
        <v>2449</v>
      </c>
      <c r="G839" s="2" t="s">
        <v>2450</v>
      </c>
      <c r="H839" s="2" t="s">
        <v>2451</v>
      </c>
      <c r="I839" s="2" t="str">
        <f t="shared" si="54"/>
        <v>1.092</v>
      </c>
      <c r="J839" s="2" t="str">
        <f t="shared" si="55"/>
        <v>35.087</v>
      </c>
      <c r="K839" s="2" t="str">
        <f t="shared" si="55"/>
        <v>0.5518</v>
      </c>
      <c r="L839" s="3">
        <v>8.9600000000000009</v>
      </c>
      <c r="M839">
        <f>((10.13-L839)/10.13)*100</f>
        <v>11.54985192497532</v>
      </c>
    </row>
    <row r="840" spans="1:13" x14ac:dyDescent="0.35">
      <c r="A840" s="1" t="s">
        <v>35</v>
      </c>
      <c r="B840" t="str">
        <f t="shared" si="53"/>
        <v>R2914</v>
      </c>
      <c r="C840" t="str">
        <f t="shared" si="52"/>
        <v>R</v>
      </c>
      <c r="D840" t="s">
        <v>5</v>
      </c>
      <c r="E840">
        <v>14</v>
      </c>
      <c r="F840" s="2" t="s">
        <v>2452</v>
      </c>
      <c r="G840" s="2" t="s">
        <v>2453</v>
      </c>
      <c r="H840" s="2" t="s">
        <v>2454</v>
      </c>
      <c r="I840" s="2" t="str">
        <f t="shared" si="54"/>
        <v>0.757</v>
      </c>
      <c r="J840" s="2" t="str">
        <f t="shared" si="55"/>
        <v>35.984</v>
      </c>
      <c r="K840" s="2" t="str">
        <f t="shared" si="55"/>
        <v>0.3721</v>
      </c>
      <c r="L840" s="3">
        <v>6.83</v>
      </c>
      <c r="M840">
        <f>((8.49-L840)/8.49)*100</f>
        <v>19.552414605418139</v>
      </c>
    </row>
    <row r="841" spans="1:13" x14ac:dyDescent="0.35">
      <c r="A841" s="1" t="s">
        <v>36</v>
      </c>
      <c r="B841" t="str">
        <f t="shared" si="53"/>
        <v>R3014</v>
      </c>
      <c r="C841" t="str">
        <f t="shared" si="52"/>
        <v>R</v>
      </c>
      <c r="D841" t="s">
        <v>5</v>
      </c>
      <c r="E841">
        <v>14</v>
      </c>
      <c r="F841" s="2" t="s">
        <v>2455</v>
      </c>
      <c r="G841" s="2" t="s">
        <v>2456</v>
      </c>
      <c r="H841" s="2" t="s">
        <v>2457</v>
      </c>
      <c r="I841" s="2" t="str">
        <f t="shared" si="54"/>
        <v>0.977</v>
      </c>
      <c r="J841" s="2" t="str">
        <f t="shared" si="55"/>
        <v>35.058</v>
      </c>
      <c r="K841" s="2" t="str">
        <f t="shared" si="55"/>
        <v>0.4940</v>
      </c>
      <c r="L841" s="3">
        <v>6.32</v>
      </c>
      <c r="M841">
        <f>((7.78-L841)/7.78)*100</f>
        <v>18.766066838046271</v>
      </c>
    </row>
    <row r="842" spans="1:13" x14ac:dyDescent="0.35">
      <c r="A842" s="1" t="s">
        <v>7</v>
      </c>
      <c r="B842" t="str">
        <f t="shared" si="53"/>
        <v>C0115</v>
      </c>
      <c r="C842" t="str">
        <f t="shared" si="52"/>
        <v>C</v>
      </c>
      <c r="D842" t="s">
        <v>4</v>
      </c>
      <c r="E842">
        <v>15</v>
      </c>
      <c r="F842" s="2" t="s">
        <v>2638</v>
      </c>
      <c r="G842" s="2" t="s">
        <v>2639</v>
      </c>
      <c r="H842" s="2" t="s">
        <v>2640</v>
      </c>
      <c r="I842" s="2" t="str">
        <f t="shared" si="54"/>
        <v>0.554</v>
      </c>
      <c r="J842" s="2" t="str">
        <f t="shared" si="55"/>
        <v>37.415</v>
      </c>
      <c r="K842" s="2" t="str">
        <f t="shared" si="55"/>
        <v>0.2622</v>
      </c>
      <c r="L842" s="3">
        <v>9.9700000000000006</v>
      </c>
      <c r="M842">
        <f>((10.71-L842)/10.71)*100</f>
        <v>6.9094304388422056</v>
      </c>
    </row>
    <row r="843" spans="1:13" x14ac:dyDescent="0.35">
      <c r="A843" s="1" t="s">
        <v>8</v>
      </c>
      <c r="B843" t="str">
        <f t="shared" si="53"/>
        <v>C0215</v>
      </c>
      <c r="C843" t="str">
        <f t="shared" si="52"/>
        <v>C</v>
      </c>
      <c r="D843" t="s">
        <v>4</v>
      </c>
      <c r="E843">
        <v>15</v>
      </c>
      <c r="F843" s="2" t="s">
        <v>2641</v>
      </c>
      <c r="G843" s="2" t="s">
        <v>2642</v>
      </c>
      <c r="H843" s="2" t="s">
        <v>2643</v>
      </c>
      <c r="I843" s="2" t="str">
        <f t="shared" si="54"/>
        <v>0.964</v>
      </c>
      <c r="J843" s="2" t="str">
        <f t="shared" si="55"/>
        <v>35.199</v>
      </c>
      <c r="K843" s="2" t="str">
        <f t="shared" si="55"/>
        <v>0.4846</v>
      </c>
      <c r="L843" s="3">
        <v>10.38</v>
      </c>
      <c r="M843">
        <f>((11.03-L843)/11.03)*100</f>
        <v>5.8930190389845745</v>
      </c>
    </row>
    <row r="844" spans="1:13" x14ac:dyDescent="0.35">
      <c r="A844" s="1" t="s">
        <v>21</v>
      </c>
      <c r="B844" t="str">
        <f t="shared" si="53"/>
        <v>C0315</v>
      </c>
      <c r="C844" t="str">
        <f t="shared" si="52"/>
        <v>C</v>
      </c>
      <c r="D844" t="s">
        <v>4</v>
      </c>
      <c r="E844">
        <v>15</v>
      </c>
      <c r="F844" s="2" t="s">
        <v>2644</v>
      </c>
      <c r="G844" s="2" t="s">
        <v>2645</v>
      </c>
      <c r="H844" s="2" t="s">
        <v>2646</v>
      </c>
      <c r="I844" s="2" t="str">
        <f t="shared" si="54"/>
        <v>0.461</v>
      </c>
      <c r="J844" s="2" t="str">
        <f t="shared" si="55"/>
        <v>34.933</v>
      </c>
      <c r="K844" s="2" t="str">
        <f t="shared" si="55"/>
        <v>0.2337</v>
      </c>
      <c r="L844" s="3">
        <v>8.3800000000000008</v>
      </c>
      <c r="M844">
        <f>((8.99-L844)/8.99)*100</f>
        <v>6.7853170189098932</v>
      </c>
    </row>
    <row r="845" spans="1:13" x14ac:dyDescent="0.35">
      <c r="A845" s="1" t="s">
        <v>9</v>
      </c>
      <c r="B845" t="str">
        <f t="shared" si="53"/>
        <v>C0415</v>
      </c>
      <c r="C845" t="str">
        <f t="shared" si="52"/>
        <v>C</v>
      </c>
      <c r="D845" t="s">
        <v>4</v>
      </c>
      <c r="E845">
        <v>15</v>
      </c>
      <c r="F845" s="2" t="s">
        <v>2647</v>
      </c>
      <c r="G845" s="2" t="s">
        <v>2648</v>
      </c>
      <c r="H845" s="2" t="s">
        <v>2649</v>
      </c>
      <c r="I845" s="2" t="str">
        <f t="shared" si="54"/>
        <v>0.728</v>
      </c>
      <c r="J845" s="2" t="str">
        <f t="shared" si="55"/>
        <v>33.564</v>
      </c>
      <c r="K845" s="2" t="str">
        <f t="shared" si="55"/>
        <v>0.3839</v>
      </c>
      <c r="L845" s="3">
        <v>12.28</v>
      </c>
      <c r="M845">
        <f>((12.82-L845)/12.82)*100</f>
        <v>4.2121684867394764</v>
      </c>
    </row>
    <row r="846" spans="1:13" x14ac:dyDescent="0.35">
      <c r="A846" s="1" t="s">
        <v>10</v>
      </c>
      <c r="B846" t="str">
        <f t="shared" si="53"/>
        <v>C0515</v>
      </c>
      <c r="C846" t="str">
        <f t="shared" si="52"/>
        <v>C</v>
      </c>
      <c r="D846" t="s">
        <v>4</v>
      </c>
      <c r="E846">
        <v>15</v>
      </c>
      <c r="F846" s="2" t="s">
        <v>2650</v>
      </c>
      <c r="G846" s="2" t="s">
        <v>2651</v>
      </c>
      <c r="H846" s="2" t="s">
        <v>2652</v>
      </c>
      <c r="I846" s="2" t="str">
        <f t="shared" si="54"/>
        <v>0.522</v>
      </c>
      <c r="J846" s="2" t="str">
        <f t="shared" si="55"/>
        <v>37.426</v>
      </c>
      <c r="K846" s="2" t="str">
        <f t="shared" si="55"/>
        <v>0.2477</v>
      </c>
      <c r="L846" s="3">
        <v>10.71</v>
      </c>
      <c r="M846">
        <f>((11.24-L846)/11.24)*100</f>
        <v>4.7153024911031975</v>
      </c>
    </row>
    <row r="847" spans="1:13" x14ac:dyDescent="0.35">
      <c r="A847" s="1" t="s">
        <v>11</v>
      </c>
      <c r="B847" t="str">
        <f t="shared" si="53"/>
        <v>C0615</v>
      </c>
      <c r="C847" t="str">
        <f t="shared" si="52"/>
        <v>C</v>
      </c>
      <c r="D847" t="s">
        <v>4</v>
      </c>
      <c r="E847">
        <v>15</v>
      </c>
      <c r="F847" s="2" t="s">
        <v>2653</v>
      </c>
      <c r="G847" s="2" t="s">
        <v>2654</v>
      </c>
      <c r="H847" s="2" t="s">
        <v>2655</v>
      </c>
      <c r="I847" s="2" t="str">
        <f t="shared" si="54"/>
        <v>0.885</v>
      </c>
      <c r="J847" s="2" t="str">
        <f t="shared" si="55"/>
        <v>33.910</v>
      </c>
      <c r="K847" s="2" t="str">
        <f t="shared" si="55"/>
        <v>0.4636</v>
      </c>
      <c r="L847" s="3">
        <v>8.9600000000000009</v>
      </c>
      <c r="M847">
        <f>((9.49-L847)/9.49)*100</f>
        <v>5.5848261327713313</v>
      </c>
    </row>
    <row r="848" spans="1:13" x14ac:dyDescent="0.35">
      <c r="A848" s="1" t="s">
        <v>12</v>
      </c>
      <c r="B848" t="str">
        <f t="shared" si="53"/>
        <v>C0715</v>
      </c>
      <c r="C848" t="str">
        <f t="shared" si="52"/>
        <v>C</v>
      </c>
      <c r="D848" t="s">
        <v>4</v>
      </c>
      <c r="E848">
        <v>15</v>
      </c>
      <c r="F848" s="2" t="s">
        <v>2656</v>
      </c>
      <c r="G848" s="2" t="s">
        <v>2657</v>
      </c>
      <c r="H848" s="2" t="s">
        <v>2658</v>
      </c>
      <c r="I848" s="2" t="str">
        <f t="shared" si="54"/>
        <v>0.685</v>
      </c>
      <c r="J848" s="2" t="str">
        <f t="shared" si="55"/>
        <v>37.269</v>
      </c>
      <c r="K848" s="2" t="str">
        <f t="shared" si="55"/>
        <v>0.3252</v>
      </c>
      <c r="L848" s="3">
        <v>11.8</v>
      </c>
      <c r="M848">
        <f>((12.19-L848)/12.19)*100</f>
        <v>3.1993437243642231</v>
      </c>
    </row>
    <row r="849" spans="1:13" x14ac:dyDescent="0.35">
      <c r="A849" s="1" t="s">
        <v>13</v>
      </c>
      <c r="B849" t="str">
        <f t="shared" si="53"/>
        <v>C0815</v>
      </c>
      <c r="C849" t="str">
        <f t="shared" si="52"/>
        <v>C</v>
      </c>
      <c r="D849" t="s">
        <v>4</v>
      </c>
      <c r="E849">
        <v>15</v>
      </c>
      <c r="F849" s="2" t="s">
        <v>2659</v>
      </c>
      <c r="G849" s="2" t="s">
        <v>2660</v>
      </c>
      <c r="H849" s="2" t="s">
        <v>2661</v>
      </c>
      <c r="I849" s="2" t="str">
        <f t="shared" si="54"/>
        <v>0.583</v>
      </c>
      <c r="J849" s="2" t="str">
        <f t="shared" si="55"/>
        <v>32.672</v>
      </c>
      <c r="K849" s="2" t="str">
        <f t="shared" si="55"/>
        <v>0.3160</v>
      </c>
      <c r="L849" s="3">
        <v>8.56</v>
      </c>
      <c r="M849">
        <f>((9.02-L849)/9.02)*100</f>
        <v>5.0997782705099679</v>
      </c>
    </row>
    <row r="850" spans="1:13" x14ac:dyDescent="0.35">
      <c r="A850" s="1" t="s">
        <v>14</v>
      </c>
      <c r="B850" t="str">
        <f t="shared" si="53"/>
        <v>C0915</v>
      </c>
      <c r="C850" t="str">
        <f t="shared" si="52"/>
        <v>C</v>
      </c>
      <c r="D850" t="s">
        <v>4</v>
      </c>
      <c r="E850">
        <v>15</v>
      </c>
      <c r="F850" s="2" t="s">
        <v>2662</v>
      </c>
      <c r="G850" s="2" t="s">
        <v>2663</v>
      </c>
      <c r="H850" s="2" t="s">
        <v>2664</v>
      </c>
      <c r="I850" s="2" t="str">
        <f t="shared" si="54"/>
        <v>0.524</v>
      </c>
      <c r="J850" s="2" t="str">
        <f t="shared" si="55"/>
        <v>33.903</v>
      </c>
      <c r="K850" s="2" t="str">
        <f t="shared" si="55"/>
        <v>0.2737</v>
      </c>
      <c r="L850" s="3">
        <v>8.3000000000000007</v>
      </c>
      <c r="M850">
        <f>((8.66-L850)/8.66)*100</f>
        <v>4.157043879907615</v>
      </c>
    </row>
    <row r="851" spans="1:13" x14ac:dyDescent="0.35">
      <c r="A851" s="1" t="s">
        <v>15</v>
      </c>
      <c r="B851" t="str">
        <f t="shared" si="53"/>
        <v>C1015</v>
      </c>
      <c r="C851" t="str">
        <f t="shared" si="52"/>
        <v>C</v>
      </c>
      <c r="D851" t="s">
        <v>4</v>
      </c>
      <c r="E851">
        <v>15</v>
      </c>
      <c r="F851" s="2" t="s">
        <v>2665</v>
      </c>
      <c r="G851" s="2" t="s">
        <v>2666</v>
      </c>
      <c r="H851" s="2" t="s">
        <v>2667</v>
      </c>
      <c r="I851" s="2" t="str">
        <f t="shared" si="54"/>
        <v>1.083</v>
      </c>
      <c r="J851" s="2" t="str">
        <f t="shared" si="55"/>
        <v>32.318</v>
      </c>
      <c r="K851" s="2" t="str">
        <f t="shared" si="55"/>
        <v>0.5933</v>
      </c>
      <c r="L851" s="3">
        <v>12.16</v>
      </c>
      <c r="M851">
        <f>((12.87-L851)/12.87)*100</f>
        <v>5.5167055167055095</v>
      </c>
    </row>
    <row r="852" spans="1:13" x14ac:dyDescent="0.35">
      <c r="A852" s="1" t="s">
        <v>16</v>
      </c>
      <c r="B852" t="str">
        <f t="shared" si="53"/>
        <v>C1115</v>
      </c>
      <c r="C852" t="str">
        <f t="shared" si="52"/>
        <v>C</v>
      </c>
      <c r="D852" t="s">
        <v>4</v>
      </c>
      <c r="E852">
        <v>15</v>
      </c>
      <c r="F852" s="2" t="s">
        <v>2668</v>
      </c>
      <c r="G852" s="2" t="s">
        <v>2669</v>
      </c>
      <c r="H852" s="2" t="s">
        <v>2670</v>
      </c>
      <c r="I852" s="2" t="str">
        <f t="shared" si="54"/>
        <v>0.549</v>
      </c>
      <c r="J852" s="2" t="str">
        <f t="shared" si="55"/>
        <v>35.355</v>
      </c>
      <c r="K852" s="2" t="str">
        <f t="shared" si="55"/>
        <v>0.2751</v>
      </c>
      <c r="L852" s="3">
        <v>7.67</v>
      </c>
      <c r="M852">
        <f>((8.02-L852)/8.02)*100</f>
        <v>4.3640897755610935</v>
      </c>
    </row>
    <row r="853" spans="1:13" x14ac:dyDescent="0.35">
      <c r="A853" s="1" t="s">
        <v>17</v>
      </c>
      <c r="B853" t="str">
        <f t="shared" si="53"/>
        <v>C1215</v>
      </c>
      <c r="C853" t="str">
        <f t="shared" si="52"/>
        <v>C</v>
      </c>
      <c r="D853" t="s">
        <v>4</v>
      </c>
      <c r="E853">
        <v>15</v>
      </c>
      <c r="F853" s="2" t="s">
        <v>2671</v>
      </c>
      <c r="G853" s="2" t="s">
        <v>2672</v>
      </c>
      <c r="H853" s="2" t="s">
        <v>2673</v>
      </c>
      <c r="I853" s="2" t="str">
        <f t="shared" si="54"/>
        <v>0.461</v>
      </c>
      <c r="J853" s="2" t="str">
        <f t="shared" si="55"/>
        <v>36.710</v>
      </c>
      <c r="K853" s="2" t="str">
        <f t="shared" si="55"/>
        <v>0.2222</v>
      </c>
      <c r="L853" s="3">
        <v>8.6300000000000008</v>
      </c>
      <c r="M853">
        <f>((9.02-L853)/9.02)*100</f>
        <v>4.3237250554323587</v>
      </c>
    </row>
    <row r="854" spans="1:13" x14ac:dyDescent="0.35">
      <c r="A854" s="1" t="s">
        <v>18</v>
      </c>
      <c r="B854" t="str">
        <f t="shared" si="53"/>
        <v>C1315</v>
      </c>
      <c r="C854" t="str">
        <f t="shared" si="52"/>
        <v>C</v>
      </c>
      <c r="D854" t="s">
        <v>4</v>
      </c>
      <c r="E854">
        <v>15</v>
      </c>
      <c r="F854" s="2" t="s">
        <v>2674</v>
      </c>
      <c r="G854" s="2" t="s">
        <v>2675</v>
      </c>
      <c r="H854" s="2" t="s">
        <v>2676</v>
      </c>
      <c r="I854" s="2" t="str">
        <f t="shared" si="54"/>
        <v>1.053</v>
      </c>
      <c r="J854" s="2" t="str">
        <f t="shared" si="55"/>
        <v>33.278</v>
      </c>
      <c r="K854" s="2" t="str">
        <f t="shared" si="55"/>
        <v>0.5606</v>
      </c>
      <c r="L854" s="3">
        <v>10</v>
      </c>
      <c r="M854">
        <f>((10.68-L854)/10.68)*100</f>
        <v>6.3670411985018704</v>
      </c>
    </row>
    <row r="855" spans="1:13" x14ac:dyDescent="0.35">
      <c r="A855" s="1" t="s">
        <v>19</v>
      </c>
      <c r="B855" t="str">
        <f t="shared" si="53"/>
        <v>C1415</v>
      </c>
      <c r="C855" t="str">
        <f t="shared" si="52"/>
        <v>C</v>
      </c>
      <c r="D855" t="s">
        <v>4</v>
      </c>
      <c r="E855">
        <v>15</v>
      </c>
      <c r="F855" s="2" t="s">
        <v>2677</v>
      </c>
      <c r="G855" s="2" t="s">
        <v>2678</v>
      </c>
      <c r="H855" s="2" t="s">
        <v>2679</v>
      </c>
      <c r="I855" s="2" t="str">
        <f t="shared" si="54"/>
        <v>0.462</v>
      </c>
      <c r="J855" s="2" t="str">
        <f t="shared" si="55"/>
        <v>32.020</v>
      </c>
      <c r="K855" s="2" t="str">
        <f t="shared" si="55"/>
        <v>0.2559</v>
      </c>
      <c r="L855" s="3">
        <v>8.82</v>
      </c>
      <c r="M855">
        <f>((9.31-L855)/9.31)*100</f>
        <v>5.2631578947368443</v>
      </c>
    </row>
    <row r="856" spans="1:13" x14ac:dyDescent="0.35">
      <c r="A856" s="1" t="s">
        <v>20</v>
      </c>
      <c r="B856" t="str">
        <f t="shared" si="53"/>
        <v>C1515</v>
      </c>
      <c r="C856" t="str">
        <f t="shared" si="52"/>
        <v>C</v>
      </c>
      <c r="D856" t="s">
        <v>4</v>
      </c>
      <c r="E856">
        <v>15</v>
      </c>
      <c r="F856" s="2" t="s">
        <v>2680</v>
      </c>
      <c r="G856" s="2" t="s">
        <v>2681</v>
      </c>
      <c r="H856" s="2" t="s">
        <v>2682</v>
      </c>
      <c r="I856" s="2" t="str">
        <f t="shared" si="54"/>
        <v>0.797</v>
      </c>
      <c r="J856" s="2" t="str">
        <f t="shared" si="55"/>
        <v>34.910</v>
      </c>
      <c r="K856" s="2" t="str">
        <f t="shared" si="55"/>
        <v>0.4047</v>
      </c>
      <c r="L856" s="3">
        <v>12.45</v>
      </c>
      <c r="M856">
        <f>((12.96-L856)/12.96)*100</f>
        <v>3.9351851851851971</v>
      </c>
    </row>
    <row r="857" spans="1:13" x14ac:dyDescent="0.35">
      <c r="A857" s="1" t="s">
        <v>22</v>
      </c>
      <c r="B857" t="str">
        <f t="shared" si="53"/>
        <v>C1615</v>
      </c>
      <c r="C857" t="str">
        <f t="shared" si="52"/>
        <v>C</v>
      </c>
      <c r="D857" t="s">
        <v>4</v>
      </c>
      <c r="E857">
        <v>15</v>
      </c>
      <c r="F857" s="2" t="s">
        <v>2683</v>
      </c>
      <c r="G857" s="2" t="s">
        <v>2684</v>
      </c>
      <c r="H857" s="2" t="s">
        <v>2685</v>
      </c>
      <c r="I857" s="2" t="str">
        <f t="shared" si="54"/>
        <v>0.970</v>
      </c>
      <c r="J857" s="2" t="str">
        <f t="shared" si="55"/>
        <v>27.873</v>
      </c>
      <c r="K857" s="2" t="str">
        <f t="shared" si="55"/>
        <v>0.6170</v>
      </c>
      <c r="L857" s="3">
        <v>12.45</v>
      </c>
      <c r="M857">
        <f>((13.01-L857)/13.01)*100</f>
        <v>4.3043812451960068</v>
      </c>
    </row>
    <row r="858" spans="1:13" x14ac:dyDescent="0.35">
      <c r="A858" s="1" t="s">
        <v>23</v>
      </c>
      <c r="B858" t="str">
        <f t="shared" si="53"/>
        <v>C1715</v>
      </c>
      <c r="C858" t="str">
        <f t="shared" si="52"/>
        <v>C</v>
      </c>
      <c r="D858" t="s">
        <v>4</v>
      </c>
      <c r="E858">
        <v>15</v>
      </c>
      <c r="F858" s="2" t="s">
        <v>2686</v>
      </c>
      <c r="G858" s="2" t="s">
        <v>2687</v>
      </c>
      <c r="H858" s="2" t="s">
        <v>2688</v>
      </c>
      <c r="I858" s="2" t="str">
        <f t="shared" si="54"/>
        <v>0.554</v>
      </c>
      <c r="J858" s="2" t="str">
        <f t="shared" si="55"/>
        <v>31.849</v>
      </c>
      <c r="K858" s="2" t="str">
        <f t="shared" si="55"/>
        <v>0.3084</v>
      </c>
      <c r="L858" s="3">
        <v>7.83</v>
      </c>
      <c r="M858">
        <f>((8.28-L858)/8.28)*100</f>
        <v>5.4347826086956434</v>
      </c>
    </row>
    <row r="859" spans="1:13" x14ac:dyDescent="0.35">
      <c r="A859" s="1" t="s">
        <v>24</v>
      </c>
      <c r="B859" t="str">
        <f t="shared" si="53"/>
        <v>C1815</v>
      </c>
      <c r="C859" t="str">
        <f t="shared" si="52"/>
        <v>C</v>
      </c>
      <c r="D859" t="s">
        <v>4</v>
      </c>
      <c r="E859">
        <v>15</v>
      </c>
      <c r="F859" s="2" t="s">
        <v>2689</v>
      </c>
      <c r="G859" s="2" t="s">
        <v>2690</v>
      </c>
      <c r="H859" s="2" t="s">
        <v>2691</v>
      </c>
      <c r="I859" s="2" t="str">
        <f t="shared" si="54"/>
        <v>0.936</v>
      </c>
      <c r="J859" s="2" t="str">
        <f t="shared" si="55"/>
        <v>35.952</v>
      </c>
      <c r="K859" s="2" t="str">
        <f t="shared" si="55"/>
        <v>0.4626</v>
      </c>
      <c r="L859" s="3">
        <v>8.11</v>
      </c>
      <c r="M859">
        <f>((8.57-L859)/8.57)*100</f>
        <v>5.3675612602100449</v>
      </c>
    </row>
    <row r="860" spans="1:13" x14ac:dyDescent="0.35">
      <c r="A860" s="1" t="s">
        <v>25</v>
      </c>
      <c r="B860" t="str">
        <f t="shared" si="53"/>
        <v>C1915</v>
      </c>
      <c r="C860" t="str">
        <f t="shared" si="52"/>
        <v>C</v>
      </c>
      <c r="D860" t="s">
        <v>4</v>
      </c>
      <c r="E860">
        <v>15</v>
      </c>
      <c r="F860" s="2" t="s">
        <v>2692</v>
      </c>
      <c r="G860" s="2" t="s">
        <v>2693</v>
      </c>
      <c r="H860" s="2" t="s">
        <v>2694</v>
      </c>
      <c r="I860" s="2" t="str">
        <f t="shared" si="54"/>
        <v>0.498</v>
      </c>
      <c r="J860" s="2" t="str">
        <f t="shared" si="55"/>
        <v>36.678</v>
      </c>
      <c r="K860" s="2" t="str">
        <f t="shared" si="55"/>
        <v>0.2403</v>
      </c>
      <c r="L860" s="3">
        <v>8.43</v>
      </c>
      <c r="M860">
        <f>((8.79-L860)/8.79)*100</f>
        <v>4.095563139931734</v>
      </c>
    </row>
    <row r="861" spans="1:13" x14ac:dyDescent="0.35">
      <c r="A861" s="1" t="s">
        <v>26</v>
      </c>
      <c r="B861" t="str">
        <f t="shared" si="53"/>
        <v>C2015</v>
      </c>
      <c r="C861" t="str">
        <f t="shared" si="52"/>
        <v>C</v>
      </c>
      <c r="D861" t="s">
        <v>4</v>
      </c>
      <c r="E861">
        <v>15</v>
      </c>
      <c r="F861" s="2" t="s">
        <v>2695</v>
      </c>
      <c r="G861" s="2" t="s">
        <v>2696</v>
      </c>
      <c r="H861" s="2" t="s">
        <v>2697</v>
      </c>
      <c r="I861" s="2" t="str">
        <f t="shared" si="54"/>
        <v>0.529</v>
      </c>
      <c r="J861" s="2" t="str">
        <f t="shared" si="55"/>
        <v>37.851</v>
      </c>
      <c r="K861" s="2" t="str">
        <f t="shared" si="55"/>
        <v>0.2477</v>
      </c>
      <c r="L861" s="3">
        <v>8.17</v>
      </c>
      <c r="M861">
        <f>((8.56-L861)/8.56)*100</f>
        <v>4.5560747663551462</v>
      </c>
    </row>
    <row r="862" spans="1:13" x14ac:dyDescent="0.35">
      <c r="A862" s="1" t="s">
        <v>27</v>
      </c>
      <c r="B862" t="str">
        <f t="shared" si="53"/>
        <v>C2115</v>
      </c>
      <c r="C862" t="str">
        <f t="shared" si="52"/>
        <v>C</v>
      </c>
      <c r="D862" t="s">
        <v>4</v>
      </c>
      <c r="E862">
        <v>15</v>
      </c>
      <c r="F862" s="2" t="s">
        <v>2698</v>
      </c>
      <c r="G862" s="2" t="s">
        <v>2699</v>
      </c>
      <c r="H862" s="2" t="s">
        <v>2700</v>
      </c>
      <c r="I862" s="2" t="str">
        <f t="shared" si="54"/>
        <v>0.651</v>
      </c>
      <c r="J862" s="2" t="str">
        <f t="shared" si="55"/>
        <v>35.694</v>
      </c>
      <c r="K862" s="2" t="str">
        <f t="shared" si="55"/>
        <v>0.3240</v>
      </c>
      <c r="L862" s="3">
        <v>11.19</v>
      </c>
      <c r="M862">
        <f>((11.72-L862)/11.72)*100</f>
        <v>4.5221843003413067</v>
      </c>
    </row>
    <row r="863" spans="1:13" x14ac:dyDescent="0.35">
      <c r="A863" s="1" t="s">
        <v>28</v>
      </c>
      <c r="B863" t="str">
        <f t="shared" si="53"/>
        <v>C2215</v>
      </c>
      <c r="C863" t="str">
        <f t="shared" si="52"/>
        <v>C</v>
      </c>
      <c r="D863" t="s">
        <v>4</v>
      </c>
      <c r="E863">
        <v>15</v>
      </c>
      <c r="F863" s="2" t="s">
        <v>2701</v>
      </c>
      <c r="G863" s="2" t="s">
        <v>2702</v>
      </c>
      <c r="H863" s="2" t="s">
        <v>2703</v>
      </c>
      <c r="I863" s="2" t="str">
        <f t="shared" si="54"/>
        <v>0.797</v>
      </c>
      <c r="J863" s="2" t="str">
        <f t="shared" si="55"/>
        <v>30.099</v>
      </c>
      <c r="K863" s="2" t="str">
        <f t="shared" si="55"/>
        <v>0.4637</v>
      </c>
      <c r="L863" s="3">
        <v>9.57</v>
      </c>
      <c r="M863">
        <f>((10.19-L863)/10.19)*100</f>
        <v>6.0843964671246242</v>
      </c>
    </row>
    <row r="864" spans="1:13" x14ac:dyDescent="0.35">
      <c r="A864" s="1" t="s">
        <v>29</v>
      </c>
      <c r="B864" t="str">
        <f t="shared" si="53"/>
        <v>C2315</v>
      </c>
      <c r="C864" t="str">
        <f t="shared" si="52"/>
        <v>C</v>
      </c>
      <c r="D864" t="s">
        <v>4</v>
      </c>
      <c r="E864">
        <v>15</v>
      </c>
      <c r="F864" s="2" t="s">
        <v>2704</v>
      </c>
      <c r="G864" s="2" t="s">
        <v>2705</v>
      </c>
      <c r="H864" s="2" t="s">
        <v>2706</v>
      </c>
      <c r="I864" s="2" t="str">
        <f t="shared" si="54"/>
        <v>0.877</v>
      </c>
      <c r="J864" s="2" t="str">
        <f t="shared" si="55"/>
        <v>33.636</v>
      </c>
      <c r="K864" s="2" t="str">
        <f t="shared" si="55"/>
        <v>0.4624</v>
      </c>
      <c r="L864" s="3">
        <v>6.18</v>
      </c>
      <c r="M864">
        <f>((6.69-L864)/6.69)*100</f>
        <v>7.6233183856502338</v>
      </c>
    </row>
    <row r="865" spans="1:13" x14ac:dyDescent="0.35">
      <c r="A865" s="1" t="s">
        <v>30</v>
      </c>
      <c r="B865" t="str">
        <f t="shared" si="53"/>
        <v>C2415</v>
      </c>
      <c r="C865" t="str">
        <f t="shared" si="52"/>
        <v>C</v>
      </c>
      <c r="D865" t="s">
        <v>4</v>
      </c>
      <c r="E865">
        <v>15</v>
      </c>
      <c r="F865" s="2" t="s">
        <v>2707</v>
      </c>
      <c r="G865" s="2" t="s">
        <v>2708</v>
      </c>
      <c r="H865" s="2" t="s">
        <v>2709</v>
      </c>
      <c r="I865" s="2" t="str">
        <f t="shared" si="54"/>
        <v>0.453</v>
      </c>
      <c r="J865" s="2" t="str">
        <f t="shared" si="55"/>
        <v>32.484</v>
      </c>
      <c r="K865" s="2" t="str">
        <f t="shared" si="55"/>
        <v>0.2471</v>
      </c>
      <c r="L865" s="3">
        <v>6.26</v>
      </c>
      <c r="M865">
        <f>((6.98-L865)/6.98)*100</f>
        <v>10.315186246418346</v>
      </c>
    </row>
    <row r="866" spans="1:13" x14ac:dyDescent="0.35">
      <c r="A866" s="1" t="s">
        <v>31</v>
      </c>
      <c r="B866" t="str">
        <f t="shared" si="53"/>
        <v>C2515</v>
      </c>
      <c r="C866" t="str">
        <f t="shared" si="52"/>
        <v>C</v>
      </c>
      <c r="D866" t="s">
        <v>4</v>
      </c>
      <c r="E866">
        <v>15</v>
      </c>
      <c r="F866" s="2" t="s">
        <v>2710</v>
      </c>
      <c r="G866" s="2" t="s">
        <v>2711</v>
      </c>
      <c r="H866" s="2" t="s">
        <v>2712</v>
      </c>
      <c r="I866" s="2" t="str">
        <f t="shared" si="54"/>
        <v>0.905</v>
      </c>
      <c r="J866" s="2" t="str">
        <f t="shared" si="55"/>
        <v>37.908</v>
      </c>
      <c r="K866" s="2" t="str">
        <f t="shared" si="55"/>
        <v>0.4220</v>
      </c>
      <c r="L866" s="3">
        <v>11.26</v>
      </c>
      <c r="M866">
        <f>((11.74-L866)/11.74)*100</f>
        <v>4.0885860306643993</v>
      </c>
    </row>
    <row r="867" spans="1:13" x14ac:dyDescent="0.35">
      <c r="A867" s="1" t="s">
        <v>32</v>
      </c>
      <c r="B867" t="str">
        <f t="shared" si="53"/>
        <v>C2615</v>
      </c>
      <c r="C867" t="str">
        <f t="shared" si="52"/>
        <v>C</v>
      </c>
      <c r="D867" t="s">
        <v>4</v>
      </c>
      <c r="E867">
        <v>15</v>
      </c>
      <c r="F867" s="2" t="s">
        <v>2713</v>
      </c>
      <c r="G867" s="2" t="s">
        <v>2714</v>
      </c>
      <c r="H867" s="2" t="s">
        <v>2715</v>
      </c>
      <c r="I867" s="2" t="str">
        <f t="shared" si="54"/>
        <v>1.091</v>
      </c>
      <c r="J867" s="2" t="str">
        <f t="shared" si="55"/>
        <v>31.811</v>
      </c>
      <c r="K867" s="2" t="str">
        <f t="shared" si="55"/>
        <v>0.6073</v>
      </c>
      <c r="L867" s="3">
        <v>6.4</v>
      </c>
      <c r="M867">
        <f>((6.81-L867)/6.81)*100</f>
        <v>6.0205580029368466</v>
      </c>
    </row>
    <row r="868" spans="1:13" x14ac:dyDescent="0.35">
      <c r="A868" s="1" t="s">
        <v>33</v>
      </c>
      <c r="B868" t="str">
        <f t="shared" si="53"/>
        <v>C2715</v>
      </c>
      <c r="C868" t="str">
        <f t="shared" si="52"/>
        <v>C</v>
      </c>
      <c r="D868" t="s">
        <v>4</v>
      </c>
      <c r="E868">
        <v>15</v>
      </c>
      <c r="F868" s="2" t="s">
        <v>2716</v>
      </c>
      <c r="G868" s="2" t="s">
        <v>2717</v>
      </c>
      <c r="H868" s="2" t="s">
        <v>2718</v>
      </c>
      <c r="I868" s="2" t="str">
        <f t="shared" si="54"/>
        <v>0.918</v>
      </c>
      <c r="J868" s="2" t="str">
        <f t="shared" si="55"/>
        <v>34.113</v>
      </c>
      <c r="K868" s="2" t="str">
        <f t="shared" si="55"/>
        <v>0.4765</v>
      </c>
      <c r="L868" s="3">
        <v>12.7</v>
      </c>
      <c r="M868">
        <f>((13.23-L868)/13.23)*100</f>
        <v>4.006046863189729</v>
      </c>
    </row>
    <row r="869" spans="1:13" x14ac:dyDescent="0.35">
      <c r="A869" s="1" t="s">
        <v>34</v>
      </c>
      <c r="B869" t="str">
        <f t="shared" si="53"/>
        <v>C2815</v>
      </c>
      <c r="C869" t="str">
        <f t="shared" si="52"/>
        <v>C</v>
      </c>
      <c r="D869" t="s">
        <v>4</v>
      </c>
      <c r="E869">
        <v>15</v>
      </c>
      <c r="F869" s="2" t="s">
        <v>2719</v>
      </c>
      <c r="G869" s="2" t="s">
        <v>2720</v>
      </c>
      <c r="H869" s="2" t="s">
        <v>2721</v>
      </c>
      <c r="I869" s="2" t="str">
        <f t="shared" si="54"/>
        <v>0.565</v>
      </c>
      <c r="J869" s="2" t="str">
        <f t="shared" si="55"/>
        <v>33.128</v>
      </c>
      <c r="K869" s="2" t="str">
        <f t="shared" si="55"/>
        <v>0.3027</v>
      </c>
      <c r="L869" s="3">
        <v>10.02</v>
      </c>
      <c r="M869">
        <f>((10.74-L869)/10.74)*100</f>
        <v>6.703910614525145</v>
      </c>
    </row>
    <row r="870" spans="1:13" x14ac:dyDescent="0.35">
      <c r="A870" s="1" t="s">
        <v>35</v>
      </c>
      <c r="B870" t="str">
        <f t="shared" si="53"/>
        <v>C2915</v>
      </c>
      <c r="C870" t="str">
        <f t="shared" si="52"/>
        <v>C</v>
      </c>
      <c r="D870" t="s">
        <v>4</v>
      </c>
      <c r="E870">
        <v>15</v>
      </c>
      <c r="F870" s="2" t="s">
        <v>2722</v>
      </c>
      <c r="G870" s="2" t="s">
        <v>2723</v>
      </c>
      <c r="H870" s="2" t="s">
        <v>2724</v>
      </c>
      <c r="I870" s="2" t="str">
        <f t="shared" si="54"/>
        <v>1.006</v>
      </c>
      <c r="J870" s="2" t="str">
        <f t="shared" si="55"/>
        <v>36.015</v>
      </c>
      <c r="K870" s="2" t="str">
        <f t="shared" si="55"/>
        <v>0.4947</v>
      </c>
      <c r="L870" s="3">
        <v>11.13</v>
      </c>
      <c r="M870">
        <f>((11.59-L870)/11.59)*100</f>
        <v>3.9689387402933485</v>
      </c>
    </row>
    <row r="871" spans="1:13" x14ac:dyDescent="0.35">
      <c r="A871" s="1" t="s">
        <v>36</v>
      </c>
      <c r="B871" t="str">
        <f t="shared" si="53"/>
        <v>C3015</v>
      </c>
      <c r="C871" t="str">
        <f t="shared" si="52"/>
        <v>C</v>
      </c>
      <c r="D871" t="s">
        <v>4</v>
      </c>
      <c r="E871">
        <v>15</v>
      </c>
      <c r="F871" s="2" t="s">
        <v>2725</v>
      </c>
      <c r="G871" s="2" t="s">
        <v>2726</v>
      </c>
      <c r="H871" s="2" t="s">
        <v>2727</v>
      </c>
      <c r="I871" s="2" t="str">
        <f t="shared" si="54"/>
        <v>0.982</v>
      </c>
      <c r="J871" s="2" t="str">
        <f t="shared" si="55"/>
        <v>36.664</v>
      </c>
      <c r="K871" s="2" t="str">
        <f t="shared" si="55"/>
        <v>0.4753</v>
      </c>
      <c r="L871" s="3">
        <v>8.84</v>
      </c>
      <c r="M871">
        <f>((9.38-L871)/9.38)*100</f>
        <v>5.7569296375266612</v>
      </c>
    </row>
    <row r="872" spans="1:13" x14ac:dyDescent="0.35">
      <c r="A872" s="1" t="s">
        <v>7</v>
      </c>
      <c r="B872" t="str">
        <f t="shared" si="53"/>
        <v>R0115</v>
      </c>
      <c r="C872" t="str">
        <f t="shared" si="52"/>
        <v>R</v>
      </c>
      <c r="D872" t="s">
        <v>5</v>
      </c>
      <c r="E872">
        <v>15</v>
      </c>
      <c r="F872" s="2" t="s">
        <v>2548</v>
      </c>
      <c r="G872" s="2" t="s">
        <v>2549</v>
      </c>
      <c r="H872" s="2" t="s">
        <v>2550</v>
      </c>
      <c r="I872" s="2" t="str">
        <f t="shared" si="54"/>
        <v>0.858</v>
      </c>
      <c r="J872" s="2" t="str">
        <f t="shared" si="55"/>
        <v>31.825</v>
      </c>
      <c r="K872" s="2" t="str">
        <f t="shared" si="55"/>
        <v>0.4771</v>
      </c>
      <c r="L872" s="3">
        <v>8.57</v>
      </c>
      <c r="M872">
        <f>((10.2-L872)/10.2)*100</f>
        <v>15.980392156862736</v>
      </c>
    </row>
    <row r="873" spans="1:13" x14ac:dyDescent="0.35">
      <c r="A873" s="1" t="s">
        <v>8</v>
      </c>
      <c r="B873" t="str">
        <f t="shared" si="53"/>
        <v>R0215</v>
      </c>
      <c r="C873" t="str">
        <f t="shared" si="52"/>
        <v>R</v>
      </c>
      <c r="D873" t="s">
        <v>5</v>
      </c>
      <c r="E873">
        <v>15</v>
      </c>
      <c r="F873" s="2" t="s">
        <v>2551</v>
      </c>
      <c r="G873" s="2" t="s">
        <v>2552</v>
      </c>
      <c r="H873" s="2" t="s">
        <v>2553</v>
      </c>
      <c r="I873" s="2" t="str">
        <f t="shared" si="54"/>
        <v>0.822</v>
      </c>
      <c r="J873" s="2" t="str">
        <f t="shared" si="55"/>
        <v>34.720</v>
      </c>
      <c r="K873" s="2" t="str">
        <f t="shared" si="55"/>
        <v>0.4192</v>
      </c>
      <c r="L873" s="3">
        <v>7.64</v>
      </c>
      <c r="M873">
        <f>((8.9-L873)/8.9)*100</f>
        <v>14.157303370786522</v>
      </c>
    </row>
    <row r="874" spans="1:13" x14ac:dyDescent="0.35">
      <c r="A874" s="1" t="s">
        <v>21</v>
      </c>
      <c r="B874" t="str">
        <f t="shared" si="53"/>
        <v>R0315</v>
      </c>
      <c r="C874" t="str">
        <f t="shared" si="52"/>
        <v>R</v>
      </c>
      <c r="D874" t="s">
        <v>5</v>
      </c>
      <c r="E874">
        <v>15</v>
      </c>
      <c r="F874" s="2" t="s">
        <v>2554</v>
      </c>
      <c r="G874" s="2" t="s">
        <v>2555</v>
      </c>
      <c r="H874" s="2" t="s">
        <v>2556</v>
      </c>
      <c r="I874" s="2" t="str">
        <f t="shared" si="54"/>
        <v>0.628</v>
      </c>
      <c r="J874" s="2" t="str">
        <f t="shared" si="55"/>
        <v>36.771</v>
      </c>
      <c r="K874" s="2" t="str">
        <f t="shared" si="55"/>
        <v>0.3022</v>
      </c>
      <c r="L874" s="3">
        <v>6.6</v>
      </c>
      <c r="M874">
        <f>((7.72-L874)/7.72)*100</f>
        <v>14.50777202072539</v>
      </c>
    </row>
    <row r="875" spans="1:13" x14ac:dyDescent="0.35">
      <c r="A875" s="1" t="s">
        <v>9</v>
      </c>
      <c r="B875" t="str">
        <f t="shared" si="53"/>
        <v>R0415</v>
      </c>
      <c r="C875" t="str">
        <f t="shared" si="52"/>
        <v>R</v>
      </c>
      <c r="D875" t="s">
        <v>5</v>
      </c>
      <c r="E875">
        <v>15</v>
      </c>
      <c r="F875" s="2" t="s">
        <v>2557</v>
      </c>
      <c r="G875" s="2" t="s">
        <v>2558</v>
      </c>
      <c r="H875" s="2" t="s">
        <v>2559</v>
      </c>
      <c r="I875" s="2" t="str">
        <f t="shared" si="54"/>
        <v>0.972</v>
      </c>
      <c r="J875" s="2" t="str">
        <f t="shared" si="55"/>
        <v>33.032</v>
      </c>
      <c r="K875" s="2" t="str">
        <f t="shared" si="55"/>
        <v>0.5224</v>
      </c>
      <c r="L875" s="3">
        <v>5.57</v>
      </c>
      <c r="M875">
        <f>((6.71-L875)/6.71)*100</f>
        <v>16.989567809239936</v>
      </c>
    </row>
    <row r="876" spans="1:13" x14ac:dyDescent="0.35">
      <c r="A876" s="1" t="s">
        <v>10</v>
      </c>
      <c r="B876" t="str">
        <f t="shared" si="53"/>
        <v>R0515</v>
      </c>
      <c r="C876" t="str">
        <f t="shared" si="52"/>
        <v>R</v>
      </c>
      <c r="D876" t="s">
        <v>5</v>
      </c>
      <c r="E876">
        <v>15</v>
      </c>
      <c r="F876" s="2" t="s">
        <v>2560</v>
      </c>
      <c r="G876" s="2" t="s">
        <v>2561</v>
      </c>
      <c r="H876" s="2" t="s">
        <v>2562</v>
      </c>
      <c r="I876" s="2" t="str">
        <f t="shared" si="54"/>
        <v>0.593</v>
      </c>
      <c r="J876" s="2" t="str">
        <f t="shared" si="55"/>
        <v>32.289</v>
      </c>
      <c r="K876" s="2" t="str">
        <f t="shared" si="55"/>
        <v>0.3256</v>
      </c>
      <c r="L876" s="3">
        <v>6.3</v>
      </c>
      <c r="M876">
        <f>((7.58-L876)/7.58)*100</f>
        <v>16.886543535620056</v>
      </c>
    </row>
    <row r="877" spans="1:13" x14ac:dyDescent="0.35">
      <c r="A877" s="1" t="s">
        <v>11</v>
      </c>
      <c r="B877" t="str">
        <f t="shared" si="53"/>
        <v>R0615</v>
      </c>
      <c r="C877" t="str">
        <f t="shared" si="52"/>
        <v>R</v>
      </c>
      <c r="D877" t="s">
        <v>5</v>
      </c>
      <c r="E877">
        <v>15</v>
      </c>
      <c r="F877" s="2" t="s">
        <v>2563</v>
      </c>
      <c r="G877" s="2" t="s">
        <v>2564</v>
      </c>
      <c r="H877" s="2" t="s">
        <v>2565</v>
      </c>
      <c r="I877" s="2" t="str">
        <f t="shared" si="54"/>
        <v>0.507</v>
      </c>
      <c r="J877" s="2" t="str">
        <f t="shared" si="55"/>
        <v>35.991</v>
      </c>
      <c r="K877" s="2" t="str">
        <f t="shared" si="55"/>
        <v>0.2495</v>
      </c>
      <c r="L877" s="3">
        <v>7.18</v>
      </c>
      <c r="M877">
        <f>((8.47-L877)/8.47)*100</f>
        <v>15.230224321133424</v>
      </c>
    </row>
    <row r="878" spans="1:13" x14ac:dyDescent="0.35">
      <c r="A878" s="1" t="s">
        <v>12</v>
      </c>
      <c r="B878" t="str">
        <f t="shared" si="53"/>
        <v>R0715</v>
      </c>
      <c r="C878" t="str">
        <f t="shared" si="52"/>
        <v>R</v>
      </c>
      <c r="D878" t="s">
        <v>5</v>
      </c>
      <c r="E878">
        <v>15</v>
      </c>
      <c r="F878" s="2" t="s">
        <v>2566</v>
      </c>
      <c r="G878" s="2" t="s">
        <v>2567</v>
      </c>
      <c r="H878" s="2" t="s">
        <v>2568</v>
      </c>
      <c r="I878" s="2" t="str">
        <f t="shared" si="54"/>
        <v>0.724</v>
      </c>
      <c r="J878" s="2" t="str">
        <f t="shared" si="55"/>
        <v>36.852</v>
      </c>
      <c r="K878" s="2" t="str">
        <f t="shared" si="55"/>
        <v>0.3476</v>
      </c>
      <c r="L878" s="3">
        <v>8.32</v>
      </c>
      <c r="M878">
        <f>((9.75-L878)/9.75)*100</f>
        <v>14.666666666666664</v>
      </c>
    </row>
    <row r="879" spans="1:13" x14ac:dyDescent="0.35">
      <c r="A879" s="1" t="s">
        <v>13</v>
      </c>
      <c r="B879" t="str">
        <f t="shared" si="53"/>
        <v>R0815</v>
      </c>
      <c r="C879" t="str">
        <f t="shared" si="52"/>
        <v>R</v>
      </c>
      <c r="D879" t="s">
        <v>5</v>
      </c>
      <c r="E879">
        <v>15</v>
      </c>
      <c r="F879" s="2" t="s">
        <v>2569</v>
      </c>
      <c r="G879" s="2" t="s">
        <v>2570</v>
      </c>
      <c r="H879" s="2" t="s">
        <v>2571</v>
      </c>
      <c r="I879" s="2" t="str">
        <f t="shared" si="54"/>
        <v>0.489</v>
      </c>
      <c r="J879" s="2" t="str">
        <f t="shared" si="55"/>
        <v>35.313</v>
      </c>
      <c r="K879" s="2" t="str">
        <f t="shared" si="55"/>
        <v>0.2450</v>
      </c>
      <c r="L879" s="3">
        <v>9.27</v>
      </c>
      <c r="M879">
        <f>((10.46-L879)/10.46)*100</f>
        <v>11.376673040152975</v>
      </c>
    </row>
    <row r="880" spans="1:13" x14ac:dyDescent="0.35">
      <c r="A880" s="1" t="s">
        <v>14</v>
      </c>
      <c r="B880" t="str">
        <f t="shared" si="53"/>
        <v>R0915</v>
      </c>
      <c r="C880" t="str">
        <f t="shared" si="52"/>
        <v>R</v>
      </c>
      <c r="D880" t="s">
        <v>5</v>
      </c>
      <c r="E880">
        <v>15</v>
      </c>
      <c r="F880" s="2" t="s">
        <v>2572</v>
      </c>
      <c r="G880" s="2" t="s">
        <v>2573</v>
      </c>
      <c r="H880" s="2" t="s">
        <v>2574</v>
      </c>
      <c r="I880" s="2" t="str">
        <f t="shared" si="54"/>
        <v>0.895</v>
      </c>
      <c r="J880" s="2" t="str">
        <f t="shared" si="55"/>
        <v>34.418</v>
      </c>
      <c r="K880" s="2" t="str">
        <f t="shared" si="55"/>
        <v>0.4601</v>
      </c>
      <c r="L880" s="3">
        <v>8.4700000000000006</v>
      </c>
      <c r="M880">
        <f>((9.52-L880)/9.52)*100</f>
        <v>11.029411764705872</v>
      </c>
    </row>
    <row r="881" spans="1:13" x14ac:dyDescent="0.35">
      <c r="A881" s="1" t="s">
        <v>15</v>
      </c>
      <c r="B881" t="str">
        <f t="shared" si="53"/>
        <v>R1015</v>
      </c>
      <c r="C881" t="str">
        <f t="shared" si="52"/>
        <v>R</v>
      </c>
      <c r="D881" t="s">
        <v>5</v>
      </c>
      <c r="E881">
        <v>15</v>
      </c>
      <c r="F881" s="2" t="s">
        <v>2575</v>
      </c>
      <c r="G881" s="2" t="s">
        <v>2576</v>
      </c>
      <c r="H881" s="2" t="s">
        <v>2577</v>
      </c>
      <c r="I881" s="2" t="str">
        <f t="shared" si="54"/>
        <v>0.860</v>
      </c>
      <c r="J881" s="2" t="str">
        <f t="shared" si="55"/>
        <v>33.685</v>
      </c>
      <c r="K881" s="2" t="str">
        <f t="shared" si="55"/>
        <v>0.4536</v>
      </c>
      <c r="L881" s="3">
        <v>13.19</v>
      </c>
      <c r="M881">
        <f>((14.55-L881)/14.55)*100</f>
        <v>9.3470790378006949</v>
      </c>
    </row>
    <row r="882" spans="1:13" x14ac:dyDescent="0.35">
      <c r="A882" s="1" t="s">
        <v>16</v>
      </c>
      <c r="B882" t="str">
        <f t="shared" si="53"/>
        <v>R1115</v>
      </c>
      <c r="C882" t="str">
        <f t="shared" si="52"/>
        <v>R</v>
      </c>
      <c r="D882" t="s">
        <v>5</v>
      </c>
      <c r="E882">
        <v>15</v>
      </c>
      <c r="F882" s="2" t="s">
        <v>2578</v>
      </c>
      <c r="G882" s="2" t="s">
        <v>2579</v>
      </c>
      <c r="H882" s="2" t="s">
        <v>2580</v>
      </c>
      <c r="I882" s="2" t="str">
        <f t="shared" si="54"/>
        <v>0.712</v>
      </c>
      <c r="J882" s="2" t="str">
        <f t="shared" si="55"/>
        <v>30.283</v>
      </c>
      <c r="K882" s="2" t="str">
        <f t="shared" si="55"/>
        <v>0.4218</v>
      </c>
      <c r="L882" s="3">
        <v>7.65</v>
      </c>
      <c r="M882">
        <f>((8.99-L882)/8.99)*100</f>
        <v>14.905450500556173</v>
      </c>
    </row>
    <row r="883" spans="1:13" x14ac:dyDescent="0.35">
      <c r="A883" s="1" t="s">
        <v>17</v>
      </c>
      <c r="B883" t="str">
        <f t="shared" si="53"/>
        <v>R1215</v>
      </c>
      <c r="C883" t="str">
        <f t="shared" si="52"/>
        <v>R</v>
      </c>
      <c r="D883" t="s">
        <v>5</v>
      </c>
      <c r="E883">
        <v>15</v>
      </c>
      <c r="F883" s="2" t="s">
        <v>2581</v>
      </c>
      <c r="G883" s="2" t="s">
        <v>2582</v>
      </c>
      <c r="H883" s="2" t="s">
        <v>2583</v>
      </c>
      <c r="I883" s="2" t="str">
        <f t="shared" si="54"/>
        <v>0.935</v>
      </c>
      <c r="J883" s="2" t="str">
        <f t="shared" si="55"/>
        <v>30.659</v>
      </c>
      <c r="K883" s="2" t="str">
        <f t="shared" si="55"/>
        <v>0.5383</v>
      </c>
      <c r="L883" s="3">
        <v>8.17</v>
      </c>
      <c r="M883">
        <f>((9.52-L883)/9.52)*100</f>
        <v>14.180672268907561</v>
      </c>
    </row>
    <row r="884" spans="1:13" x14ac:dyDescent="0.35">
      <c r="A884" s="1" t="s">
        <v>18</v>
      </c>
      <c r="B884" t="str">
        <f t="shared" si="53"/>
        <v>R1315</v>
      </c>
      <c r="C884" t="str">
        <f t="shared" si="52"/>
        <v>R</v>
      </c>
      <c r="D884" t="s">
        <v>5</v>
      </c>
      <c r="E884">
        <v>15</v>
      </c>
      <c r="F884" s="2" t="s">
        <v>2584</v>
      </c>
      <c r="G884" s="2" t="s">
        <v>2585</v>
      </c>
      <c r="H884" s="2" t="s">
        <v>2586</v>
      </c>
      <c r="I884" s="2" t="str">
        <f t="shared" si="54"/>
        <v>0.960</v>
      </c>
      <c r="J884" s="2" t="str">
        <f t="shared" si="55"/>
        <v>32.768</v>
      </c>
      <c r="K884" s="2" t="str">
        <f t="shared" si="55"/>
        <v>0.5184</v>
      </c>
      <c r="L884" s="3">
        <v>8.42</v>
      </c>
      <c r="M884">
        <f>((10.58-L884)/10.58)*100</f>
        <v>20.415879017013232</v>
      </c>
    </row>
    <row r="885" spans="1:13" x14ac:dyDescent="0.35">
      <c r="A885" s="1" t="s">
        <v>19</v>
      </c>
      <c r="B885" t="str">
        <f t="shared" si="53"/>
        <v>R1415</v>
      </c>
      <c r="C885" t="str">
        <f t="shared" si="52"/>
        <v>R</v>
      </c>
      <c r="D885" t="s">
        <v>5</v>
      </c>
      <c r="E885">
        <v>15</v>
      </c>
      <c r="F885" s="2" t="s">
        <v>2587</v>
      </c>
      <c r="G885" s="2" t="s">
        <v>2588</v>
      </c>
      <c r="H885" s="2" t="s">
        <v>2589</v>
      </c>
      <c r="I885" s="2" t="str">
        <f t="shared" si="54"/>
        <v>0.605</v>
      </c>
      <c r="J885" s="2" t="str">
        <f t="shared" si="55"/>
        <v>34.451</v>
      </c>
      <c r="K885" s="2" t="str">
        <f t="shared" si="55"/>
        <v>0.3137</v>
      </c>
      <c r="L885" s="3">
        <v>9.84</v>
      </c>
      <c r="M885">
        <f>((11.2-L885)/11.2)*100</f>
        <v>12.142857142857139</v>
      </c>
    </row>
    <row r="886" spans="1:13" x14ac:dyDescent="0.35">
      <c r="A886" s="1" t="s">
        <v>20</v>
      </c>
      <c r="B886" t="str">
        <f t="shared" si="53"/>
        <v>R1515</v>
      </c>
      <c r="C886" t="str">
        <f t="shared" si="52"/>
        <v>R</v>
      </c>
      <c r="D886" t="s">
        <v>5</v>
      </c>
      <c r="E886">
        <v>15</v>
      </c>
      <c r="F886" s="2" t="s">
        <v>2590</v>
      </c>
      <c r="G886" s="2" t="s">
        <v>2591</v>
      </c>
      <c r="H886" s="2" t="s">
        <v>2592</v>
      </c>
      <c r="I886" s="2" t="str">
        <f t="shared" si="54"/>
        <v>0.672</v>
      </c>
      <c r="J886" s="2" t="str">
        <f t="shared" si="55"/>
        <v>36.742</v>
      </c>
      <c r="K886" s="2" t="str">
        <f t="shared" si="55"/>
        <v>0.3236</v>
      </c>
      <c r="L886" s="3">
        <v>8.6199999999999992</v>
      </c>
      <c r="M886">
        <f>((10.33-L886)/10.33)*100</f>
        <v>16.553727008712496</v>
      </c>
    </row>
    <row r="887" spans="1:13" x14ac:dyDescent="0.35">
      <c r="A887" s="1" t="s">
        <v>22</v>
      </c>
      <c r="B887" t="str">
        <f t="shared" si="53"/>
        <v>R1615</v>
      </c>
      <c r="C887" t="str">
        <f t="shared" si="52"/>
        <v>R</v>
      </c>
      <c r="D887" t="s">
        <v>5</v>
      </c>
      <c r="E887">
        <v>15</v>
      </c>
      <c r="F887" s="2" t="s">
        <v>2593</v>
      </c>
      <c r="G887" s="2" t="s">
        <v>2594</v>
      </c>
      <c r="H887" s="2" t="s">
        <v>2595</v>
      </c>
      <c r="I887" s="2" t="str">
        <f t="shared" si="54"/>
        <v>0.704</v>
      </c>
      <c r="J887" s="2" t="str">
        <f t="shared" si="55"/>
        <v>36.681</v>
      </c>
      <c r="K887" s="2" t="str">
        <f t="shared" si="55"/>
        <v>0.3401</v>
      </c>
      <c r="L887" s="3">
        <v>7.24</v>
      </c>
      <c r="M887">
        <f>((8.36-L887)/8.36)*100</f>
        <v>13.397129186602863</v>
      </c>
    </row>
    <row r="888" spans="1:13" x14ac:dyDescent="0.35">
      <c r="A888" s="1" t="s">
        <v>23</v>
      </c>
      <c r="B888" t="str">
        <f t="shared" si="53"/>
        <v>R1715</v>
      </c>
      <c r="C888" t="str">
        <f t="shared" si="52"/>
        <v>R</v>
      </c>
      <c r="D888" t="s">
        <v>5</v>
      </c>
      <c r="E888">
        <v>15</v>
      </c>
      <c r="F888" s="2" t="s">
        <v>2602</v>
      </c>
      <c r="G888" s="2" t="s">
        <v>2603</v>
      </c>
      <c r="H888" s="2" t="s">
        <v>2604</v>
      </c>
      <c r="I888" s="2" t="str">
        <f t="shared" si="54"/>
        <v>0.700</v>
      </c>
      <c r="J888" s="2" t="str">
        <f t="shared" si="55"/>
        <v>33.159</v>
      </c>
      <c r="K888" s="2" t="str">
        <f t="shared" si="55"/>
        <v>0.3772</v>
      </c>
      <c r="L888" s="3">
        <v>9.42</v>
      </c>
      <c r="M888">
        <f>((10.97-L888)/10.97)*100</f>
        <v>14.129443938012768</v>
      </c>
    </row>
    <row r="889" spans="1:13" x14ac:dyDescent="0.35">
      <c r="A889" s="1" t="s">
        <v>24</v>
      </c>
      <c r="B889" t="str">
        <f t="shared" si="53"/>
        <v>R1815</v>
      </c>
      <c r="C889" t="str">
        <f t="shared" si="52"/>
        <v>R</v>
      </c>
      <c r="D889" t="s">
        <v>5</v>
      </c>
      <c r="E889">
        <v>15</v>
      </c>
      <c r="F889" s="2" t="s">
        <v>2599</v>
      </c>
      <c r="G889" s="2" t="s">
        <v>2600</v>
      </c>
      <c r="H889" s="2" t="s">
        <v>2601</v>
      </c>
      <c r="I889" s="2" t="str">
        <f t="shared" si="54"/>
        <v>0.800</v>
      </c>
      <c r="J889" s="2" t="str">
        <f t="shared" si="55"/>
        <v>33.526</v>
      </c>
      <c r="K889" s="2" t="str">
        <f t="shared" si="55"/>
        <v>0.4284</v>
      </c>
      <c r="L889" s="3">
        <v>6.82</v>
      </c>
      <c r="M889">
        <f>((8.03-L889)/8.03)*100</f>
        <v>15.068493150684922</v>
      </c>
    </row>
    <row r="890" spans="1:13" x14ac:dyDescent="0.35">
      <c r="A890" s="1" t="s">
        <v>25</v>
      </c>
      <c r="B890" t="str">
        <f t="shared" si="53"/>
        <v>R1915</v>
      </c>
      <c r="C890" t="str">
        <f t="shared" si="52"/>
        <v>R</v>
      </c>
      <c r="D890" t="s">
        <v>5</v>
      </c>
      <c r="E890">
        <v>15</v>
      </c>
      <c r="F890" s="2" t="s">
        <v>2596</v>
      </c>
      <c r="G890" s="2" t="s">
        <v>2597</v>
      </c>
      <c r="H890" s="2" t="s">
        <v>2598</v>
      </c>
      <c r="I890" s="2" t="str">
        <f t="shared" si="54"/>
        <v>0.519</v>
      </c>
      <c r="J890" s="2" t="str">
        <f t="shared" si="55"/>
        <v>31.102</v>
      </c>
      <c r="K890" s="2" t="str">
        <f t="shared" si="55"/>
        <v>0.3058</v>
      </c>
      <c r="L890" s="3">
        <v>7.58</v>
      </c>
      <c r="M890">
        <f>((8.97-L890)/8.97)*100</f>
        <v>15.496098104793763</v>
      </c>
    </row>
    <row r="891" spans="1:13" x14ac:dyDescent="0.35">
      <c r="A891" s="1" t="s">
        <v>26</v>
      </c>
      <c r="B891" t="str">
        <f t="shared" si="53"/>
        <v>R2015</v>
      </c>
      <c r="C891" t="str">
        <f t="shared" ref="C891:C954" si="56">LEFT(D891,1)</f>
        <v>R</v>
      </c>
      <c r="D891" t="s">
        <v>5</v>
      </c>
      <c r="E891">
        <v>15</v>
      </c>
      <c r="F891" s="2" t="s">
        <v>2605</v>
      </c>
      <c r="G891" s="2" t="s">
        <v>2606</v>
      </c>
      <c r="H891" s="2" t="s">
        <v>2607</v>
      </c>
      <c r="I891" s="2" t="str">
        <f t="shared" si="54"/>
        <v>0.599</v>
      </c>
      <c r="J891" s="2" t="str">
        <f t="shared" si="55"/>
        <v>34.757</v>
      </c>
      <c r="K891" s="2" t="str">
        <f t="shared" si="55"/>
        <v>0.3043</v>
      </c>
      <c r="L891" s="3">
        <v>8.0399999999999991</v>
      </c>
      <c r="M891">
        <f>((9.17-L891)/9.17)*100</f>
        <v>12.322791712104699</v>
      </c>
    </row>
    <row r="892" spans="1:13" x14ac:dyDescent="0.35">
      <c r="A892" s="1" t="s">
        <v>27</v>
      </c>
      <c r="B892" t="str">
        <f t="shared" si="53"/>
        <v>R2115</v>
      </c>
      <c r="C892" t="str">
        <f t="shared" si="56"/>
        <v>R</v>
      </c>
      <c r="D892" t="s">
        <v>5</v>
      </c>
      <c r="E892">
        <v>15</v>
      </c>
      <c r="F892" s="2" t="s">
        <v>2608</v>
      </c>
      <c r="G892" s="2" t="s">
        <v>2609</v>
      </c>
      <c r="H892" s="2" t="s">
        <v>2610</v>
      </c>
      <c r="I892" s="2" t="str">
        <f t="shared" si="54"/>
        <v>0.984</v>
      </c>
      <c r="J892" s="2" t="str">
        <f t="shared" si="55"/>
        <v>36.807</v>
      </c>
      <c r="K892" s="2" t="str">
        <f t="shared" si="55"/>
        <v>0.4726</v>
      </c>
      <c r="L892" s="3">
        <v>9.57</v>
      </c>
      <c r="M892">
        <f>((11.02-L892)/11.02)*100</f>
        <v>13.157894736842099</v>
      </c>
    </row>
    <row r="893" spans="1:13" x14ac:dyDescent="0.35">
      <c r="A893" s="1" t="s">
        <v>28</v>
      </c>
      <c r="B893" t="str">
        <f t="shared" si="53"/>
        <v>R2215</v>
      </c>
      <c r="C893" t="str">
        <f t="shared" si="56"/>
        <v>R</v>
      </c>
      <c r="D893" t="s">
        <v>5</v>
      </c>
      <c r="E893">
        <v>15</v>
      </c>
      <c r="F893" s="2" t="s">
        <v>2611</v>
      </c>
      <c r="G893" s="2" t="s">
        <v>2612</v>
      </c>
      <c r="H893" s="2" t="s">
        <v>2613</v>
      </c>
      <c r="I893" s="2" t="str">
        <f t="shared" si="54"/>
        <v>0.827</v>
      </c>
      <c r="J893" s="2" t="str">
        <f t="shared" si="55"/>
        <v>34.905</v>
      </c>
      <c r="K893" s="2" t="str">
        <f t="shared" si="55"/>
        <v>0.4203</v>
      </c>
      <c r="L893" s="3">
        <v>9.9700000000000006</v>
      </c>
      <c r="M893">
        <f>((11.2-L893)/11.2)*100</f>
        <v>10.982142857142845</v>
      </c>
    </row>
    <row r="894" spans="1:13" x14ac:dyDescent="0.35">
      <c r="A894" s="1" t="s">
        <v>29</v>
      </c>
      <c r="B894" t="str">
        <f t="shared" si="53"/>
        <v>R2315</v>
      </c>
      <c r="C894" t="str">
        <f t="shared" si="56"/>
        <v>R</v>
      </c>
      <c r="D894" t="s">
        <v>5</v>
      </c>
      <c r="E894">
        <v>15</v>
      </c>
      <c r="F894" s="2" t="s">
        <v>2614</v>
      </c>
      <c r="G894" s="2" t="s">
        <v>2615</v>
      </c>
      <c r="H894" s="2" t="s">
        <v>2616</v>
      </c>
      <c r="I894" s="2" t="str">
        <f t="shared" si="54"/>
        <v>1.001</v>
      </c>
      <c r="J894" s="2" t="str">
        <f t="shared" si="55"/>
        <v>34.303</v>
      </c>
      <c r="K894" s="2" t="str">
        <f t="shared" si="55"/>
        <v>0.5162</v>
      </c>
      <c r="L894" s="3">
        <v>9.23</v>
      </c>
      <c r="M894">
        <f>((10.41-L894)/10.41)*100</f>
        <v>11.335254562920266</v>
      </c>
    </row>
    <row r="895" spans="1:13" x14ac:dyDescent="0.35">
      <c r="A895" s="1" t="s">
        <v>30</v>
      </c>
      <c r="B895" t="str">
        <f t="shared" si="53"/>
        <v>R2415</v>
      </c>
      <c r="C895" t="str">
        <f t="shared" si="56"/>
        <v>R</v>
      </c>
      <c r="D895" t="s">
        <v>5</v>
      </c>
      <c r="E895">
        <v>15</v>
      </c>
      <c r="F895" s="2" t="s">
        <v>2617</v>
      </c>
      <c r="G895" s="2" t="s">
        <v>2618</v>
      </c>
      <c r="H895" s="2" t="s">
        <v>2619</v>
      </c>
      <c r="I895" s="2" t="str">
        <f t="shared" si="54"/>
        <v>1.090</v>
      </c>
      <c r="J895" s="2" t="str">
        <f t="shared" si="55"/>
        <v>34.995</v>
      </c>
      <c r="K895" s="2" t="str">
        <f t="shared" si="55"/>
        <v>0.5502</v>
      </c>
      <c r="L895" s="3">
        <v>10.4</v>
      </c>
      <c r="M895">
        <f>((11.96-L895)/11.96)*100</f>
        <v>13.043478260869568</v>
      </c>
    </row>
    <row r="896" spans="1:13" x14ac:dyDescent="0.35">
      <c r="A896" s="1" t="s">
        <v>31</v>
      </c>
      <c r="B896" t="str">
        <f t="shared" si="53"/>
        <v>R2515</v>
      </c>
      <c r="C896" t="str">
        <f t="shared" si="56"/>
        <v>R</v>
      </c>
      <c r="D896" t="s">
        <v>5</v>
      </c>
      <c r="E896">
        <v>15</v>
      </c>
      <c r="F896" s="2" t="s">
        <v>2620</v>
      </c>
      <c r="G896" s="2" t="s">
        <v>2621</v>
      </c>
      <c r="H896" s="2" t="s">
        <v>2622</v>
      </c>
      <c r="I896" s="2" t="str">
        <f t="shared" si="54"/>
        <v>0.874</v>
      </c>
      <c r="J896" s="2" t="str">
        <f t="shared" si="55"/>
        <v>38.148</v>
      </c>
      <c r="K896" s="2" t="str">
        <f t="shared" si="55"/>
        <v>0.4055</v>
      </c>
      <c r="L896" s="3">
        <v>10.029999999999999</v>
      </c>
      <c r="M896">
        <f>((11.77-L896)/11.77)*100</f>
        <v>14.783347493627868</v>
      </c>
    </row>
    <row r="897" spans="1:13" x14ac:dyDescent="0.35">
      <c r="A897" s="1" t="s">
        <v>32</v>
      </c>
      <c r="B897" t="str">
        <f t="shared" si="53"/>
        <v>R2615</v>
      </c>
      <c r="C897" t="str">
        <f t="shared" si="56"/>
        <v>R</v>
      </c>
      <c r="D897" t="s">
        <v>5</v>
      </c>
      <c r="E897">
        <v>15</v>
      </c>
      <c r="F897" s="2" t="s">
        <v>2623</v>
      </c>
      <c r="G897" s="2" t="s">
        <v>2624</v>
      </c>
      <c r="H897" s="2" t="s">
        <v>2625</v>
      </c>
      <c r="I897" s="2" t="str">
        <f t="shared" si="54"/>
        <v>0.866</v>
      </c>
      <c r="J897" s="2" t="str">
        <f t="shared" si="55"/>
        <v>36.810</v>
      </c>
      <c r="K897" s="2" t="str">
        <f t="shared" si="55"/>
        <v>0.4166</v>
      </c>
      <c r="L897" s="3">
        <v>11.23</v>
      </c>
      <c r="M897">
        <f>((12.72-L897)/12.72)*100</f>
        <v>11.713836477987423</v>
      </c>
    </row>
    <row r="898" spans="1:13" x14ac:dyDescent="0.35">
      <c r="A898" s="1" t="s">
        <v>33</v>
      </c>
      <c r="B898" t="str">
        <f t="shared" si="53"/>
        <v>R2715</v>
      </c>
      <c r="C898" t="str">
        <f t="shared" si="56"/>
        <v>R</v>
      </c>
      <c r="D898" t="s">
        <v>5</v>
      </c>
      <c r="E898">
        <v>15</v>
      </c>
      <c r="F898" s="2" t="s">
        <v>2626</v>
      </c>
      <c r="G898" s="2" t="s">
        <v>2627</v>
      </c>
      <c r="H898" s="2" t="s">
        <v>2628</v>
      </c>
      <c r="I898" s="2" t="str">
        <f t="shared" si="54"/>
        <v>0.953</v>
      </c>
      <c r="J898" s="2" t="str">
        <f t="shared" si="55"/>
        <v>32.855</v>
      </c>
      <c r="K898" s="2" t="str">
        <f t="shared" si="55"/>
        <v>0.5127</v>
      </c>
      <c r="L898" s="3">
        <v>11.42</v>
      </c>
      <c r="M898">
        <f>((13.02-L898)/13.02)*100</f>
        <v>12.288786482334867</v>
      </c>
    </row>
    <row r="899" spans="1:13" x14ac:dyDescent="0.35">
      <c r="A899" s="1" t="s">
        <v>34</v>
      </c>
      <c r="B899" t="str">
        <f t="shared" ref="B899:B961" si="57">CONCATENATE(C899,A899,E899)</f>
        <v>R2815</v>
      </c>
      <c r="C899" t="str">
        <f t="shared" si="56"/>
        <v>R</v>
      </c>
      <c r="D899" t="s">
        <v>5</v>
      </c>
      <c r="E899">
        <v>15</v>
      </c>
      <c r="F899" s="2" t="s">
        <v>2629</v>
      </c>
      <c r="G899" s="2" t="s">
        <v>2630</v>
      </c>
      <c r="H899" s="2" t="s">
        <v>2631</v>
      </c>
      <c r="I899" s="2" t="str">
        <f t="shared" ref="I899:I961" si="58">LEFT(F899,5)</f>
        <v>0.506</v>
      </c>
      <c r="J899" s="2" t="str">
        <f t="shared" si="55"/>
        <v>34.310</v>
      </c>
      <c r="K899" s="2" t="str">
        <f t="shared" si="55"/>
        <v>0.2607</v>
      </c>
      <c r="L899" s="3">
        <v>8.7899999999999991</v>
      </c>
      <c r="M899">
        <f>((10.13-L899)/10.13)*100</f>
        <v>13.228035538005939</v>
      </c>
    </row>
    <row r="900" spans="1:13" x14ac:dyDescent="0.35">
      <c r="A900" s="1" t="s">
        <v>35</v>
      </c>
      <c r="B900" t="str">
        <f t="shared" si="57"/>
        <v>R2915</v>
      </c>
      <c r="C900" t="str">
        <f t="shared" si="56"/>
        <v>R</v>
      </c>
      <c r="D900" t="s">
        <v>5</v>
      </c>
      <c r="E900">
        <v>15</v>
      </c>
      <c r="F900" s="2" t="s">
        <v>2632</v>
      </c>
      <c r="G900" s="2" t="s">
        <v>2633</v>
      </c>
      <c r="H900" s="2" t="s">
        <v>2634</v>
      </c>
      <c r="I900" s="2" t="str">
        <f t="shared" si="58"/>
        <v>0.643</v>
      </c>
      <c r="J900" s="2" t="str">
        <f t="shared" si="55"/>
        <v>32.742</v>
      </c>
      <c r="K900" s="2" t="str">
        <f t="shared" si="55"/>
        <v>0.3487</v>
      </c>
      <c r="L900" s="3">
        <v>6.67</v>
      </c>
      <c r="M900">
        <f>((8.49-L900)/8.49)*100</f>
        <v>21.436984687868083</v>
      </c>
    </row>
    <row r="901" spans="1:13" x14ac:dyDescent="0.35">
      <c r="A901" s="1" t="s">
        <v>36</v>
      </c>
      <c r="B901" t="str">
        <f t="shared" si="57"/>
        <v>R3015</v>
      </c>
      <c r="C901" t="str">
        <f t="shared" si="56"/>
        <v>R</v>
      </c>
      <c r="D901" t="s">
        <v>5</v>
      </c>
      <c r="E901">
        <v>15</v>
      </c>
      <c r="F901" s="2" t="s">
        <v>2635</v>
      </c>
      <c r="G901" s="2" t="s">
        <v>2636</v>
      </c>
      <c r="H901" s="2" t="s">
        <v>2637</v>
      </c>
      <c r="I901" s="2" t="str">
        <f t="shared" si="58"/>
        <v>0.991</v>
      </c>
      <c r="J901" s="2" t="str">
        <f t="shared" ref="J901:K961" si="59">LEFT(G901,6)</f>
        <v>33.769</v>
      </c>
      <c r="K901" s="2" t="str">
        <f t="shared" si="59"/>
        <v>0.5223</v>
      </c>
      <c r="L901" s="3">
        <v>6.21</v>
      </c>
      <c r="M901">
        <f>((7.78-L901)/7.78)*100</f>
        <v>20.179948586118254</v>
      </c>
    </row>
    <row r="902" spans="1:13" x14ac:dyDescent="0.35">
      <c r="A902" s="1" t="s">
        <v>7</v>
      </c>
      <c r="B902" t="str">
        <f t="shared" si="57"/>
        <v>C0116</v>
      </c>
      <c r="C902" t="str">
        <f t="shared" si="56"/>
        <v>C</v>
      </c>
      <c r="D902" t="s">
        <v>4</v>
      </c>
      <c r="E902">
        <v>16</v>
      </c>
      <c r="F902" s="2" t="s">
        <v>2818</v>
      </c>
      <c r="G902" s="2" t="s">
        <v>2819</v>
      </c>
      <c r="H902" s="2" t="s">
        <v>2820</v>
      </c>
      <c r="I902" s="2" t="str">
        <f t="shared" si="58"/>
        <v>0.974</v>
      </c>
      <c r="J902" s="2" t="str">
        <f t="shared" si="59"/>
        <v>35.154</v>
      </c>
      <c r="K902" s="2" t="str">
        <f t="shared" si="59"/>
        <v>0.4905</v>
      </c>
      <c r="L902" s="3">
        <v>9.8699999999999992</v>
      </c>
      <c r="M902">
        <f>((10.71-L902)/10.71)*100</f>
        <v>7.8431372549019756</v>
      </c>
    </row>
    <row r="903" spans="1:13" x14ac:dyDescent="0.35">
      <c r="A903" s="1" t="s">
        <v>8</v>
      </c>
      <c r="B903" t="str">
        <f t="shared" si="57"/>
        <v>C0216</v>
      </c>
      <c r="C903" t="str">
        <f t="shared" si="56"/>
        <v>C</v>
      </c>
      <c r="D903" t="s">
        <v>4</v>
      </c>
      <c r="E903">
        <v>16</v>
      </c>
      <c r="F903" s="2" t="s">
        <v>2821</v>
      </c>
      <c r="G903" s="2" t="s">
        <v>2822</v>
      </c>
      <c r="H903" s="2" t="s">
        <v>2823</v>
      </c>
      <c r="I903" s="2" t="str">
        <f t="shared" si="58"/>
        <v>1.064</v>
      </c>
      <c r="J903" s="2" t="str">
        <f t="shared" si="59"/>
        <v>36.613</v>
      </c>
      <c r="K903" s="2" t="str">
        <f t="shared" si="59"/>
        <v>0.5151</v>
      </c>
      <c r="L903" s="3">
        <v>10.32</v>
      </c>
      <c r="M903">
        <f>((11.03-L903)/11.03)*100</f>
        <v>6.4369900271985419</v>
      </c>
    </row>
    <row r="904" spans="1:13" x14ac:dyDescent="0.35">
      <c r="A904" s="1" t="s">
        <v>21</v>
      </c>
      <c r="B904" t="str">
        <f t="shared" si="57"/>
        <v>C0316</v>
      </c>
      <c r="C904" t="str">
        <f t="shared" si="56"/>
        <v>C</v>
      </c>
      <c r="D904" t="s">
        <v>4</v>
      </c>
      <c r="E904">
        <v>16</v>
      </c>
      <c r="F904" s="2" t="s">
        <v>2824</v>
      </c>
      <c r="G904" s="2" t="s">
        <v>2825</v>
      </c>
      <c r="H904" s="2" t="s">
        <v>2826</v>
      </c>
      <c r="I904" s="2" t="str">
        <f t="shared" si="58"/>
        <v>0.624</v>
      </c>
      <c r="J904" s="2" t="str">
        <f t="shared" si="59"/>
        <v>35.641</v>
      </c>
      <c r="K904" s="2" t="str">
        <f t="shared" si="59"/>
        <v>0.3123</v>
      </c>
      <c r="L904" s="3">
        <v>8.33</v>
      </c>
      <c r="M904">
        <f>((8.99-L904)/8.99)*100</f>
        <v>7.3414905450500569</v>
      </c>
    </row>
    <row r="905" spans="1:13" x14ac:dyDescent="0.35">
      <c r="A905" s="1" t="s">
        <v>9</v>
      </c>
      <c r="B905" t="str">
        <f t="shared" si="57"/>
        <v>C0416</v>
      </c>
      <c r="C905" t="str">
        <f t="shared" si="56"/>
        <v>C</v>
      </c>
      <c r="D905" t="s">
        <v>4</v>
      </c>
      <c r="E905">
        <v>16</v>
      </c>
      <c r="F905" s="2" t="s">
        <v>2827</v>
      </c>
      <c r="G905" s="2" t="s">
        <v>2828</v>
      </c>
      <c r="H905" s="2" t="s">
        <v>2829</v>
      </c>
      <c r="I905" s="2" t="str">
        <f t="shared" si="58"/>
        <v>0.797</v>
      </c>
      <c r="J905" s="2" t="str">
        <f t="shared" si="59"/>
        <v>32.697</v>
      </c>
      <c r="K905" s="2" t="str">
        <f t="shared" si="59"/>
        <v>0.4315</v>
      </c>
      <c r="L905" s="3">
        <v>12.23</v>
      </c>
      <c r="M905">
        <f>((12.82-L905)/12.82)*100</f>
        <v>4.6021840873634936</v>
      </c>
    </row>
    <row r="906" spans="1:13" x14ac:dyDescent="0.35">
      <c r="A906" s="1" t="s">
        <v>10</v>
      </c>
      <c r="B906" t="str">
        <f t="shared" si="57"/>
        <v>C0516</v>
      </c>
      <c r="C906" t="str">
        <f t="shared" si="56"/>
        <v>C</v>
      </c>
      <c r="D906" t="s">
        <v>4</v>
      </c>
      <c r="E906">
        <v>16</v>
      </c>
      <c r="F906" s="2" t="s">
        <v>2830</v>
      </c>
      <c r="G906" s="2" t="s">
        <v>2831</v>
      </c>
      <c r="H906" s="2" t="s">
        <v>2832</v>
      </c>
      <c r="I906" s="2" t="str">
        <f t="shared" si="58"/>
        <v>0.544</v>
      </c>
      <c r="J906" s="2" t="str">
        <f t="shared" si="59"/>
        <v>36.392</v>
      </c>
      <c r="K906" s="2" t="str">
        <f t="shared" si="59"/>
        <v>0.2654</v>
      </c>
      <c r="L906" s="3">
        <v>10.66</v>
      </c>
      <c r="M906">
        <f>((11.24-L906)/11.24)*100</f>
        <v>5.1601423487544489</v>
      </c>
    </row>
    <row r="907" spans="1:13" x14ac:dyDescent="0.35">
      <c r="A907" s="1" t="s">
        <v>11</v>
      </c>
      <c r="B907" t="str">
        <f t="shared" si="57"/>
        <v>C0616</v>
      </c>
      <c r="C907" t="str">
        <f t="shared" si="56"/>
        <v>C</v>
      </c>
      <c r="D907" t="s">
        <v>4</v>
      </c>
      <c r="E907">
        <v>16</v>
      </c>
      <c r="F907" s="2" t="s">
        <v>2833</v>
      </c>
      <c r="G907" s="2" t="s">
        <v>2834</v>
      </c>
      <c r="H907" s="2" t="s">
        <v>2835</v>
      </c>
      <c r="I907" s="2" t="str">
        <f t="shared" si="58"/>
        <v>0.702</v>
      </c>
      <c r="J907" s="2" t="str">
        <f t="shared" si="59"/>
        <v>32.685</v>
      </c>
      <c r="K907" s="2" t="str">
        <f t="shared" si="59"/>
        <v>0.3816</v>
      </c>
      <c r="L907" s="3">
        <v>8.83</v>
      </c>
      <c r="M907">
        <f>((9.49-L907)/9.49)*100</f>
        <v>6.9546891464699696</v>
      </c>
    </row>
    <row r="908" spans="1:13" x14ac:dyDescent="0.35">
      <c r="A908" s="1" t="s">
        <v>12</v>
      </c>
      <c r="B908" t="str">
        <f t="shared" si="57"/>
        <v>C0716</v>
      </c>
      <c r="C908" t="str">
        <f t="shared" si="56"/>
        <v>C</v>
      </c>
      <c r="D908" t="s">
        <v>4</v>
      </c>
      <c r="E908">
        <v>16</v>
      </c>
      <c r="F908" s="2" t="s">
        <v>2836</v>
      </c>
      <c r="G908" s="2" t="s">
        <v>2837</v>
      </c>
      <c r="H908" s="2" t="s">
        <v>2838</v>
      </c>
      <c r="I908" s="2" t="str">
        <f t="shared" si="58"/>
        <v>1.001</v>
      </c>
      <c r="J908" s="2" t="str">
        <f t="shared" si="59"/>
        <v>30.241</v>
      </c>
      <c r="K908" s="2" t="str">
        <f t="shared" si="59"/>
        <v>0.5868</v>
      </c>
      <c r="L908" s="3">
        <v>11.74</v>
      </c>
      <c r="M908">
        <f>((12.19-L908)/12.19)*100</f>
        <v>3.6915504511894937</v>
      </c>
    </row>
    <row r="909" spans="1:13" x14ac:dyDescent="0.35">
      <c r="A909" s="1" t="s">
        <v>13</v>
      </c>
      <c r="B909" t="str">
        <f t="shared" si="57"/>
        <v>C0816</v>
      </c>
      <c r="C909" t="str">
        <f t="shared" si="56"/>
        <v>C</v>
      </c>
      <c r="D909" t="s">
        <v>4</v>
      </c>
      <c r="E909">
        <v>16</v>
      </c>
      <c r="F909" s="2" t="s">
        <v>2839</v>
      </c>
      <c r="G909" s="2" t="s">
        <v>2840</v>
      </c>
      <c r="H909" s="2" t="s">
        <v>2841</v>
      </c>
      <c r="I909" s="2" t="str">
        <f t="shared" si="58"/>
        <v>0.578</v>
      </c>
      <c r="J909" s="2" t="str">
        <f t="shared" si="59"/>
        <v>30.241</v>
      </c>
      <c r="K909" s="2" t="str">
        <f t="shared" si="59"/>
        <v>0.3395</v>
      </c>
      <c r="L909" s="3">
        <v>8.49</v>
      </c>
      <c r="M909">
        <f>((9.02-L909)/9.02)*100</f>
        <v>5.8758314855875762</v>
      </c>
    </row>
    <row r="910" spans="1:13" x14ac:dyDescent="0.35">
      <c r="A910" s="1" t="s">
        <v>14</v>
      </c>
      <c r="B910" t="str">
        <f t="shared" si="57"/>
        <v>C0916</v>
      </c>
      <c r="C910" t="str">
        <f t="shared" si="56"/>
        <v>C</v>
      </c>
      <c r="D910" t="s">
        <v>4</v>
      </c>
      <c r="E910">
        <v>16</v>
      </c>
      <c r="F910" s="2" t="s">
        <v>2842</v>
      </c>
      <c r="G910" s="2" t="s">
        <v>2843</v>
      </c>
      <c r="H910" s="2" t="s">
        <v>2844</v>
      </c>
      <c r="I910" s="2" t="str">
        <f t="shared" si="58"/>
        <v>0.520</v>
      </c>
      <c r="J910" s="2" t="str">
        <f t="shared" si="59"/>
        <v>33.100</v>
      </c>
      <c r="K910" s="2" t="str">
        <f t="shared" si="59"/>
        <v>0.2781</v>
      </c>
      <c r="L910" s="3">
        <v>8.24</v>
      </c>
      <c r="M910">
        <f>((8.66-L910)/8.66)*100</f>
        <v>4.8498845265588901</v>
      </c>
    </row>
    <row r="911" spans="1:13" x14ac:dyDescent="0.35">
      <c r="A911" s="1" t="s">
        <v>15</v>
      </c>
      <c r="B911" t="str">
        <f t="shared" si="57"/>
        <v>C1016</v>
      </c>
      <c r="C911" t="str">
        <f t="shared" si="56"/>
        <v>C</v>
      </c>
      <c r="D911" t="s">
        <v>4</v>
      </c>
      <c r="E911">
        <v>16</v>
      </c>
      <c r="F911" s="2" t="s">
        <v>2845</v>
      </c>
      <c r="G911" s="2" t="s">
        <v>2846</v>
      </c>
      <c r="H911" s="2" t="s">
        <v>2847</v>
      </c>
      <c r="I911" s="2" t="str">
        <f t="shared" si="58"/>
        <v>1.143</v>
      </c>
      <c r="J911" s="2" t="str">
        <f t="shared" si="59"/>
        <v>33.704</v>
      </c>
      <c r="K911" s="2" t="str">
        <f t="shared" si="59"/>
        <v>0.6007</v>
      </c>
      <c r="L911" s="3">
        <v>12.04</v>
      </c>
      <c r="M911">
        <f>((12.87-L911)/12.87)*100</f>
        <v>6.4491064491064494</v>
      </c>
    </row>
    <row r="912" spans="1:13" x14ac:dyDescent="0.35">
      <c r="A912" s="1" t="s">
        <v>16</v>
      </c>
      <c r="B912" t="str">
        <f t="shared" si="57"/>
        <v>C1116</v>
      </c>
      <c r="C912" t="str">
        <f t="shared" si="56"/>
        <v>C</v>
      </c>
      <c r="D912" t="s">
        <v>4</v>
      </c>
      <c r="E912">
        <v>16</v>
      </c>
      <c r="F912" s="2" t="s">
        <v>2848</v>
      </c>
      <c r="G912" s="2" t="s">
        <v>2849</v>
      </c>
      <c r="H912" s="2" t="s">
        <v>2850</v>
      </c>
      <c r="I912" s="2" t="str">
        <f t="shared" si="58"/>
        <v>0.517</v>
      </c>
      <c r="J912" s="2" t="str">
        <f t="shared" si="59"/>
        <v>32.573</v>
      </c>
      <c r="K912" s="2" t="str">
        <f t="shared" si="59"/>
        <v>0.2808</v>
      </c>
      <c r="L912" s="3">
        <v>7.65</v>
      </c>
      <c r="M912">
        <f>((8.02-L912)/8.02)*100</f>
        <v>4.6134663341645785</v>
      </c>
    </row>
    <row r="913" spans="1:13" x14ac:dyDescent="0.35">
      <c r="A913" s="1" t="s">
        <v>17</v>
      </c>
      <c r="B913" t="str">
        <f t="shared" si="57"/>
        <v>C1216</v>
      </c>
      <c r="C913" t="str">
        <f t="shared" si="56"/>
        <v>C</v>
      </c>
      <c r="D913" t="s">
        <v>4</v>
      </c>
      <c r="E913">
        <v>16</v>
      </c>
      <c r="F913" s="2" t="s">
        <v>2851</v>
      </c>
      <c r="G913" s="2" t="s">
        <v>2852</v>
      </c>
      <c r="H913" s="2" t="s">
        <v>2853</v>
      </c>
      <c r="I913" s="2" t="str">
        <f t="shared" si="58"/>
        <v>0.636</v>
      </c>
      <c r="J913" s="2" t="str">
        <f t="shared" si="59"/>
        <v>37.422</v>
      </c>
      <c r="K913" s="2" t="str">
        <f t="shared" si="59"/>
        <v>0.3002</v>
      </c>
      <c r="L913" s="3">
        <v>8.6</v>
      </c>
      <c r="M913">
        <f>((9.02-L913)/9.02)*100</f>
        <v>4.656319290465631</v>
      </c>
    </row>
    <row r="914" spans="1:13" x14ac:dyDescent="0.35">
      <c r="A914" s="1" t="s">
        <v>18</v>
      </c>
      <c r="B914" t="str">
        <f t="shared" si="57"/>
        <v>C1316</v>
      </c>
      <c r="C914" t="str">
        <f t="shared" si="56"/>
        <v>C</v>
      </c>
      <c r="D914" t="s">
        <v>4</v>
      </c>
      <c r="E914">
        <v>16</v>
      </c>
      <c r="F914" s="2" t="s">
        <v>2854</v>
      </c>
      <c r="G914" s="2" t="s">
        <v>2855</v>
      </c>
      <c r="H914" s="2" t="s">
        <v>2856</v>
      </c>
      <c r="I914" s="2" t="str">
        <f t="shared" si="58"/>
        <v>1.001</v>
      </c>
      <c r="J914" s="2" t="str">
        <f t="shared" si="59"/>
        <v>22.383</v>
      </c>
      <c r="K914" s="2" t="str">
        <f t="shared" si="59"/>
        <v>0.7973</v>
      </c>
      <c r="L914" s="3">
        <v>9.99</v>
      </c>
      <c r="M914">
        <f>((10.68-L914)/10.68)*100</f>
        <v>6.4606741573033659</v>
      </c>
    </row>
    <row r="915" spans="1:13" x14ac:dyDescent="0.35">
      <c r="A915" s="1" t="s">
        <v>19</v>
      </c>
      <c r="B915" t="str">
        <f t="shared" si="57"/>
        <v>C1416</v>
      </c>
      <c r="C915" t="str">
        <f t="shared" si="56"/>
        <v>C</v>
      </c>
      <c r="D915" t="s">
        <v>4</v>
      </c>
      <c r="E915">
        <v>16</v>
      </c>
      <c r="F915" s="2" t="s">
        <v>2857</v>
      </c>
      <c r="G915" s="2" t="s">
        <v>2858</v>
      </c>
      <c r="H915" s="2" t="s">
        <v>2859</v>
      </c>
      <c r="I915" s="2" t="str">
        <f t="shared" si="58"/>
        <v>0.521</v>
      </c>
      <c r="J915" s="2" t="str">
        <f t="shared" si="59"/>
        <v>32.331</v>
      </c>
      <c r="K915" s="2" t="str">
        <f t="shared" si="59"/>
        <v>0.2865</v>
      </c>
      <c r="L915" s="3">
        <v>8.8000000000000007</v>
      </c>
      <c r="M915">
        <f>((9.31-L915)/9.31)*100</f>
        <v>5.4779806659505876</v>
      </c>
    </row>
    <row r="916" spans="1:13" x14ac:dyDescent="0.35">
      <c r="A916" s="1" t="s">
        <v>20</v>
      </c>
      <c r="B916" t="str">
        <f t="shared" si="57"/>
        <v>C1516</v>
      </c>
      <c r="C916" t="str">
        <f t="shared" si="56"/>
        <v>C</v>
      </c>
      <c r="D916" t="s">
        <v>4</v>
      </c>
      <c r="E916">
        <v>16</v>
      </c>
      <c r="F916" s="2" t="s">
        <v>2860</v>
      </c>
      <c r="G916" s="2" t="s">
        <v>2861</v>
      </c>
      <c r="H916" s="2" t="s">
        <v>2862</v>
      </c>
      <c r="I916" s="2" t="str">
        <f t="shared" si="58"/>
        <v>0.907</v>
      </c>
      <c r="J916" s="2" t="str">
        <f t="shared" si="59"/>
        <v>33.389</v>
      </c>
      <c r="K916" s="2" t="str">
        <f t="shared" si="59"/>
        <v>0.4852</v>
      </c>
      <c r="L916" s="3">
        <v>12.42</v>
      </c>
      <c r="M916">
        <f>((12.96-L916)/12.96)*100</f>
        <v>4.1666666666666732</v>
      </c>
    </row>
    <row r="917" spans="1:13" x14ac:dyDescent="0.35">
      <c r="A917" s="1" t="s">
        <v>22</v>
      </c>
      <c r="B917" t="str">
        <f t="shared" si="57"/>
        <v>C1616</v>
      </c>
      <c r="C917" t="str">
        <f t="shared" si="56"/>
        <v>C</v>
      </c>
      <c r="D917" t="s">
        <v>4</v>
      </c>
      <c r="E917">
        <v>16</v>
      </c>
      <c r="F917" s="2" t="s">
        <v>2863</v>
      </c>
      <c r="G917" s="2" t="s">
        <v>2864</v>
      </c>
      <c r="H917" s="2" t="s">
        <v>2865</v>
      </c>
      <c r="I917" s="2" t="str">
        <f t="shared" si="58"/>
        <v>1.034</v>
      </c>
      <c r="J917" s="2" t="str">
        <f t="shared" si="59"/>
        <v>35.179</v>
      </c>
      <c r="K917" s="2" t="str">
        <f t="shared" si="59"/>
        <v>0.5202</v>
      </c>
      <c r="L917" s="3">
        <v>12.39</v>
      </c>
      <c r="M917">
        <f>((13.01-L917)/13.01)*100</f>
        <v>4.7655649500384261</v>
      </c>
    </row>
    <row r="918" spans="1:13" x14ac:dyDescent="0.35">
      <c r="A918" s="1" t="s">
        <v>23</v>
      </c>
      <c r="B918" t="str">
        <f t="shared" si="57"/>
        <v>C1716</v>
      </c>
      <c r="C918" t="str">
        <f t="shared" si="56"/>
        <v>C</v>
      </c>
      <c r="D918" t="s">
        <v>4</v>
      </c>
      <c r="E918">
        <v>16</v>
      </c>
      <c r="F918" s="2" t="s">
        <v>2866</v>
      </c>
      <c r="G918" s="2" t="s">
        <v>2867</v>
      </c>
      <c r="H918" s="2" t="s">
        <v>2868</v>
      </c>
      <c r="I918" s="2" t="str">
        <f t="shared" si="58"/>
        <v>0.956</v>
      </c>
      <c r="J918" s="2" t="str">
        <f t="shared" si="59"/>
        <v>32.406</v>
      </c>
      <c r="K918" s="2" t="str">
        <f t="shared" si="59"/>
        <v>0.5229</v>
      </c>
      <c r="L918" s="3">
        <v>7.81</v>
      </c>
      <c r="M918">
        <f>((8.28-L918)/8.28)*100</f>
        <v>5.6763285024154566</v>
      </c>
    </row>
    <row r="919" spans="1:13" x14ac:dyDescent="0.35">
      <c r="A919" s="1" t="s">
        <v>24</v>
      </c>
      <c r="B919" t="str">
        <f t="shared" si="57"/>
        <v>C1816</v>
      </c>
      <c r="C919" t="str">
        <f t="shared" si="56"/>
        <v>C</v>
      </c>
      <c r="D919" t="s">
        <v>4</v>
      </c>
      <c r="E919">
        <v>16</v>
      </c>
      <c r="F919" s="2" t="s">
        <v>2869</v>
      </c>
      <c r="G919" s="2" t="s">
        <v>2870</v>
      </c>
      <c r="H919" s="2" t="s">
        <v>2871</v>
      </c>
      <c r="I919" s="2" t="str">
        <f t="shared" si="58"/>
        <v>0.993</v>
      </c>
      <c r="J919" s="2" t="str">
        <f t="shared" si="59"/>
        <v>30.201</v>
      </c>
      <c r="K919" s="2" t="str">
        <f t="shared" si="59"/>
        <v>0.5841</v>
      </c>
      <c r="L919" s="3">
        <v>8.0299999999999994</v>
      </c>
      <c r="M919">
        <f>((8.57-L919)/8.57)*100</f>
        <v>6.3010501750291823</v>
      </c>
    </row>
    <row r="920" spans="1:13" x14ac:dyDescent="0.35">
      <c r="A920" s="1" t="s">
        <v>25</v>
      </c>
      <c r="B920" t="str">
        <f t="shared" si="57"/>
        <v>C1916</v>
      </c>
      <c r="C920" t="str">
        <f t="shared" si="56"/>
        <v>C</v>
      </c>
      <c r="D920" t="s">
        <v>4</v>
      </c>
      <c r="E920">
        <v>16</v>
      </c>
      <c r="F920" s="2" t="s">
        <v>2872</v>
      </c>
      <c r="G920" s="2" t="s">
        <v>2873</v>
      </c>
      <c r="H920" s="2" t="s">
        <v>2874</v>
      </c>
      <c r="I920" s="2" t="str">
        <f t="shared" si="58"/>
        <v>0.474</v>
      </c>
      <c r="J920" s="2" t="str">
        <f t="shared" si="59"/>
        <v>35.088</v>
      </c>
      <c r="K920" s="2" t="str">
        <f t="shared" si="59"/>
        <v>0.2394</v>
      </c>
      <c r="L920" s="3">
        <v>8.41</v>
      </c>
      <c r="M920">
        <f>((8.79-L920)/8.79)*100</f>
        <v>4.3230944254834931</v>
      </c>
    </row>
    <row r="921" spans="1:13" x14ac:dyDescent="0.35">
      <c r="A921" s="1" t="s">
        <v>26</v>
      </c>
      <c r="B921" t="str">
        <f t="shared" si="57"/>
        <v>C2016</v>
      </c>
      <c r="C921" t="str">
        <f t="shared" si="56"/>
        <v>C</v>
      </c>
      <c r="D921" t="s">
        <v>4</v>
      </c>
      <c r="E921">
        <v>16</v>
      </c>
      <c r="F921" s="2" t="s">
        <v>2875</v>
      </c>
      <c r="G921" s="2" t="s">
        <v>2876</v>
      </c>
      <c r="H921" s="2" t="s">
        <v>2877</v>
      </c>
      <c r="I921" s="2" t="str">
        <f t="shared" si="58"/>
        <v>1.026</v>
      </c>
      <c r="J921" s="2" t="str">
        <f t="shared" si="59"/>
        <v>34.722</v>
      </c>
      <c r="K921" s="2" t="str">
        <f t="shared" si="59"/>
        <v>0.5249</v>
      </c>
      <c r="L921" s="3">
        <v>8.16</v>
      </c>
      <c r="M921">
        <f>((8.56-L921)/8.56)*100</f>
        <v>4.6728971962616859</v>
      </c>
    </row>
    <row r="922" spans="1:13" x14ac:dyDescent="0.35">
      <c r="A922" s="1" t="s">
        <v>27</v>
      </c>
      <c r="B922" t="str">
        <f t="shared" si="57"/>
        <v>C2116</v>
      </c>
      <c r="C922" t="str">
        <f t="shared" si="56"/>
        <v>C</v>
      </c>
      <c r="D922" t="s">
        <v>4</v>
      </c>
      <c r="E922">
        <v>16</v>
      </c>
      <c r="F922" s="2" t="s">
        <v>2878</v>
      </c>
      <c r="G922" s="2" t="s">
        <v>2879</v>
      </c>
      <c r="H922" s="2" t="s">
        <v>2880</v>
      </c>
      <c r="I922" s="2" t="str">
        <f t="shared" si="58"/>
        <v>0.635</v>
      </c>
      <c r="J922" s="2" t="str">
        <f t="shared" si="59"/>
        <v>33.979</v>
      </c>
      <c r="K922" s="2" t="str">
        <f t="shared" si="59"/>
        <v>0.3360</v>
      </c>
      <c r="L922" s="3">
        <v>11.16</v>
      </c>
      <c r="M922">
        <f>((11.72-L922)/11.72)*100</f>
        <v>4.7781569965870343</v>
      </c>
    </row>
    <row r="923" spans="1:13" x14ac:dyDescent="0.35">
      <c r="A923" s="1" t="s">
        <v>28</v>
      </c>
      <c r="B923" t="str">
        <f t="shared" si="57"/>
        <v>C2216</v>
      </c>
      <c r="C923" t="str">
        <f t="shared" si="56"/>
        <v>C</v>
      </c>
      <c r="D923" t="s">
        <v>4</v>
      </c>
      <c r="E923">
        <v>16</v>
      </c>
      <c r="F923" s="2" t="s">
        <v>2881</v>
      </c>
      <c r="G923" s="2" t="s">
        <v>2882</v>
      </c>
      <c r="H923" s="2" t="s">
        <v>2883</v>
      </c>
      <c r="I923" s="2" t="str">
        <f t="shared" si="58"/>
        <v>0.506</v>
      </c>
      <c r="J923" s="2" t="str">
        <f t="shared" si="59"/>
        <v>34.020</v>
      </c>
      <c r="K923" s="2" t="str">
        <f t="shared" si="59"/>
        <v>0.2637</v>
      </c>
      <c r="L923" s="3">
        <v>9.5500000000000007</v>
      </c>
      <c r="M923">
        <f>((10.19-L923)/10.19)*100</f>
        <v>6.2806673209028343</v>
      </c>
    </row>
    <row r="924" spans="1:13" x14ac:dyDescent="0.35">
      <c r="A924" s="1" t="s">
        <v>29</v>
      </c>
      <c r="B924" t="str">
        <f t="shared" si="57"/>
        <v>C2316</v>
      </c>
      <c r="C924" t="str">
        <f t="shared" si="56"/>
        <v>C</v>
      </c>
      <c r="D924" t="s">
        <v>4</v>
      </c>
      <c r="E924">
        <v>16</v>
      </c>
      <c r="F924" s="2" t="s">
        <v>2884</v>
      </c>
      <c r="G924" s="2" t="s">
        <v>2885</v>
      </c>
      <c r="H924" s="2" t="s">
        <v>2886</v>
      </c>
      <c r="I924" s="2" t="str">
        <f t="shared" si="58"/>
        <v>1.095</v>
      </c>
      <c r="J924" s="2" t="str">
        <f t="shared" si="59"/>
        <v>34.886</v>
      </c>
      <c r="K924" s="2" t="str">
        <f t="shared" si="59"/>
        <v>0.5557</v>
      </c>
      <c r="L924" s="3">
        <v>6.16</v>
      </c>
      <c r="M924">
        <f>((6.69-L924)/6.69)*100</f>
        <v>7.922272047832589</v>
      </c>
    </row>
    <row r="925" spans="1:13" x14ac:dyDescent="0.35">
      <c r="A925" s="1" t="s">
        <v>30</v>
      </c>
      <c r="B925" t="str">
        <f t="shared" si="57"/>
        <v>C2416</v>
      </c>
      <c r="C925" t="str">
        <f t="shared" si="56"/>
        <v>C</v>
      </c>
      <c r="D925" t="s">
        <v>4</v>
      </c>
      <c r="E925">
        <v>16</v>
      </c>
      <c r="F925" s="2" t="s">
        <v>2887</v>
      </c>
      <c r="G925" s="2" t="s">
        <v>2888</v>
      </c>
      <c r="H925" s="2" t="s">
        <v>2889</v>
      </c>
      <c r="I925" s="2" t="str">
        <f t="shared" si="58"/>
        <v>1.137</v>
      </c>
      <c r="J925" s="2" t="str">
        <f t="shared" si="59"/>
        <v>32.712</v>
      </c>
      <c r="K925" s="2" t="str">
        <f t="shared" si="59"/>
        <v>0.6150</v>
      </c>
      <c r="L925" s="3">
        <v>6.24</v>
      </c>
      <c r="M925">
        <f>((6.98-L925)/6.98)*100</f>
        <v>10.601719197707739</v>
      </c>
    </row>
    <row r="926" spans="1:13" x14ac:dyDescent="0.35">
      <c r="A926" s="1" t="s">
        <v>31</v>
      </c>
      <c r="B926" t="str">
        <f t="shared" si="57"/>
        <v>C2516</v>
      </c>
      <c r="C926" t="str">
        <f t="shared" si="56"/>
        <v>C</v>
      </c>
      <c r="D926" t="s">
        <v>4</v>
      </c>
      <c r="E926">
        <v>16</v>
      </c>
      <c r="F926" s="2" t="s">
        <v>2890</v>
      </c>
      <c r="G926" s="2" t="s">
        <v>2891</v>
      </c>
      <c r="H926" s="2" t="s">
        <v>2892</v>
      </c>
      <c r="I926" s="2" t="str">
        <f t="shared" si="58"/>
        <v>0.851</v>
      </c>
      <c r="J926" s="2" t="str">
        <f t="shared" si="59"/>
        <v>31.143</v>
      </c>
      <c r="K926" s="2" t="str">
        <f t="shared" si="59"/>
        <v>0.4842</v>
      </c>
      <c r="L926" s="3">
        <v>11.26</v>
      </c>
      <c r="M926">
        <f>((11.74-L926)/11.74)*100</f>
        <v>4.0885860306643993</v>
      </c>
    </row>
    <row r="927" spans="1:13" x14ac:dyDescent="0.35">
      <c r="A927" s="1" t="s">
        <v>32</v>
      </c>
      <c r="B927" t="str">
        <f t="shared" si="57"/>
        <v>C2616</v>
      </c>
      <c r="C927" t="str">
        <f t="shared" si="56"/>
        <v>C</v>
      </c>
      <c r="D927" t="s">
        <v>4</v>
      </c>
      <c r="E927">
        <v>16</v>
      </c>
      <c r="F927" s="2" t="s">
        <v>2893</v>
      </c>
      <c r="G927" s="2" t="s">
        <v>2894</v>
      </c>
      <c r="H927" s="2" t="s">
        <v>2895</v>
      </c>
      <c r="I927" s="2" t="str">
        <f t="shared" si="58"/>
        <v>0.469</v>
      </c>
      <c r="J927" s="2" t="str">
        <f t="shared" si="59"/>
        <v>33.449</v>
      </c>
      <c r="K927" s="2" t="str">
        <f t="shared" si="59"/>
        <v>0.2484</v>
      </c>
      <c r="L927" s="3">
        <v>6.37</v>
      </c>
      <c r="M927">
        <f>((6.81-L927)/6.81)*100</f>
        <v>6.4610866372980844</v>
      </c>
    </row>
    <row r="928" spans="1:13" x14ac:dyDescent="0.35">
      <c r="A928" s="1" t="s">
        <v>33</v>
      </c>
      <c r="B928" t="str">
        <f t="shared" si="57"/>
        <v>C2716</v>
      </c>
      <c r="C928" t="str">
        <f t="shared" si="56"/>
        <v>C</v>
      </c>
      <c r="D928" t="s">
        <v>4</v>
      </c>
      <c r="E928">
        <v>16</v>
      </c>
      <c r="F928" s="2" t="s">
        <v>2896</v>
      </c>
      <c r="G928" s="2" t="s">
        <v>2897</v>
      </c>
      <c r="H928" s="2" t="s">
        <v>2898</v>
      </c>
      <c r="I928" s="2" t="str">
        <f t="shared" si="58"/>
        <v>0.500</v>
      </c>
      <c r="J928" s="2" t="str">
        <f t="shared" si="59"/>
        <v>37.783</v>
      </c>
      <c r="K928" s="2" t="str">
        <f t="shared" si="59"/>
        <v>0.2347</v>
      </c>
      <c r="L928" s="3">
        <v>12.69</v>
      </c>
      <c r="M928">
        <f>((13.23-L928)/13.23)*100</f>
        <v>4.0816326530612308</v>
      </c>
    </row>
    <row r="929" spans="1:13" x14ac:dyDescent="0.35">
      <c r="A929" s="1" t="s">
        <v>34</v>
      </c>
      <c r="B929" t="str">
        <f t="shared" si="57"/>
        <v>C2816</v>
      </c>
      <c r="C929" t="str">
        <f t="shared" si="56"/>
        <v>C</v>
      </c>
      <c r="D929" t="s">
        <v>4</v>
      </c>
      <c r="E929">
        <v>16</v>
      </c>
      <c r="F929" s="2" t="s">
        <v>2899</v>
      </c>
      <c r="G929" s="2" t="s">
        <v>2900</v>
      </c>
      <c r="H929" s="2" t="s">
        <v>2901</v>
      </c>
      <c r="I929" s="2" t="str">
        <f t="shared" si="58"/>
        <v>1.041</v>
      </c>
      <c r="J929" s="2" t="str">
        <f t="shared" si="59"/>
        <v>34.081</v>
      </c>
      <c r="K929" s="2" t="str">
        <f t="shared" si="59"/>
        <v>0.5400</v>
      </c>
      <c r="L929" s="3">
        <v>10</v>
      </c>
      <c r="M929">
        <f>((10.74-L929)/10.74)*100</f>
        <v>6.8901303538175069</v>
      </c>
    </row>
    <row r="930" spans="1:13" x14ac:dyDescent="0.35">
      <c r="A930" s="1" t="s">
        <v>35</v>
      </c>
      <c r="B930" t="str">
        <f t="shared" si="57"/>
        <v>C2916</v>
      </c>
      <c r="C930" t="str">
        <f t="shared" si="56"/>
        <v>C</v>
      </c>
      <c r="D930" t="s">
        <v>4</v>
      </c>
      <c r="E930">
        <v>16</v>
      </c>
      <c r="F930" s="2" t="s">
        <v>2902</v>
      </c>
      <c r="G930" s="2" t="s">
        <v>2903</v>
      </c>
      <c r="H930" s="2" t="s">
        <v>2904</v>
      </c>
      <c r="I930" s="2" t="str">
        <f t="shared" si="58"/>
        <v>0.885</v>
      </c>
      <c r="J930" s="2" t="str">
        <f t="shared" si="59"/>
        <v>34.204</v>
      </c>
      <c r="K930" s="2" t="str">
        <f t="shared" si="59"/>
        <v>0.4582</v>
      </c>
      <c r="L930" s="3">
        <v>11.12</v>
      </c>
      <c r="M930">
        <f>((11.59-L930)/11.59)*100</f>
        <v>4.0552200172562607</v>
      </c>
    </row>
    <row r="931" spans="1:13" x14ac:dyDescent="0.35">
      <c r="A931" s="1" t="s">
        <v>36</v>
      </c>
      <c r="B931" t="str">
        <f t="shared" si="57"/>
        <v>C3016</v>
      </c>
      <c r="C931" t="str">
        <f t="shared" si="56"/>
        <v>C</v>
      </c>
      <c r="D931" t="s">
        <v>4</v>
      </c>
      <c r="E931">
        <v>16</v>
      </c>
      <c r="F931" s="2" t="s">
        <v>2905</v>
      </c>
      <c r="G931" s="2" t="s">
        <v>2906</v>
      </c>
      <c r="H931" s="2" t="s">
        <v>2907</v>
      </c>
      <c r="I931" s="2" t="str">
        <f t="shared" si="58"/>
        <v>1.027</v>
      </c>
      <c r="J931" s="2" t="str">
        <f t="shared" si="59"/>
        <v>36.599</v>
      </c>
      <c r="K931" s="2" t="str">
        <f t="shared" si="59"/>
        <v>0.4963</v>
      </c>
      <c r="L931" s="3">
        <v>8.81</v>
      </c>
      <c r="M931">
        <f>((9.38-L931)/9.38)*100</f>
        <v>6.0767590618336911</v>
      </c>
    </row>
    <row r="932" spans="1:13" x14ac:dyDescent="0.35">
      <c r="A932" s="1" t="s">
        <v>7</v>
      </c>
      <c r="B932" t="str">
        <f t="shared" si="57"/>
        <v>R0116</v>
      </c>
      <c r="C932" t="str">
        <f t="shared" si="56"/>
        <v>R</v>
      </c>
      <c r="D932" t="s">
        <v>5</v>
      </c>
      <c r="E932">
        <v>16</v>
      </c>
      <c r="F932" s="2" t="s">
        <v>2728</v>
      </c>
      <c r="G932" s="2" t="s">
        <v>2729</v>
      </c>
      <c r="H932" s="2" t="s">
        <v>2730</v>
      </c>
      <c r="I932" s="2" t="str">
        <f t="shared" si="58"/>
        <v>0.936</v>
      </c>
      <c r="J932" s="2" t="str">
        <f t="shared" si="59"/>
        <v>36.475</v>
      </c>
      <c r="K932" s="2" t="str">
        <f t="shared" si="59"/>
        <v>0.4552</v>
      </c>
      <c r="L932" s="3">
        <v>8.41</v>
      </c>
      <c r="M932">
        <f>((10.2-L932)/10.2)*100</f>
        <v>17.549019607843132</v>
      </c>
    </row>
    <row r="933" spans="1:13" x14ac:dyDescent="0.35">
      <c r="A933" s="1" t="s">
        <v>8</v>
      </c>
      <c r="B933" t="str">
        <f t="shared" si="57"/>
        <v>R0216</v>
      </c>
      <c r="C933" t="str">
        <f t="shared" si="56"/>
        <v>R</v>
      </c>
      <c r="D933" t="s">
        <v>5</v>
      </c>
      <c r="E933">
        <v>16</v>
      </c>
      <c r="F933" s="2" t="s">
        <v>2740</v>
      </c>
      <c r="G933" s="2" t="s">
        <v>2741</v>
      </c>
      <c r="H933" s="2" t="s">
        <v>2742</v>
      </c>
      <c r="I933" s="2" t="str">
        <f t="shared" si="58"/>
        <v>0.818</v>
      </c>
      <c r="J933" s="2" t="str">
        <f t="shared" si="59"/>
        <v>32.251</v>
      </c>
      <c r="K933" s="2" t="str">
        <f t="shared" si="59"/>
        <v>0.4495</v>
      </c>
      <c r="L933" s="3">
        <v>7.5</v>
      </c>
      <c r="M933">
        <f>((8.9-L933)/8.9)*100</f>
        <v>15.730337078651688</v>
      </c>
    </row>
    <row r="934" spans="1:13" x14ac:dyDescent="0.35">
      <c r="A934" s="1" t="s">
        <v>21</v>
      </c>
      <c r="B934" t="str">
        <f t="shared" si="57"/>
        <v>R0316</v>
      </c>
      <c r="C934" t="str">
        <f t="shared" si="56"/>
        <v>R</v>
      </c>
      <c r="D934" t="s">
        <v>5</v>
      </c>
      <c r="E934">
        <v>16</v>
      </c>
      <c r="F934" s="2" t="s">
        <v>2731</v>
      </c>
      <c r="G934" s="2" t="s">
        <v>2732</v>
      </c>
      <c r="H934" s="2" t="s">
        <v>2733</v>
      </c>
      <c r="I934" s="2" t="str">
        <f t="shared" si="58"/>
        <v>0.606</v>
      </c>
      <c r="J934" s="2" t="str">
        <f t="shared" si="59"/>
        <v>29.658</v>
      </c>
      <c r="K934" s="2" t="str">
        <f t="shared" si="59"/>
        <v>0.3618</v>
      </c>
      <c r="L934" s="3">
        <v>6.47</v>
      </c>
      <c r="M934">
        <f>((7.72-L934)/7.72)*100</f>
        <v>16.191709844559586</v>
      </c>
    </row>
    <row r="935" spans="1:13" x14ac:dyDescent="0.35">
      <c r="A935" s="1" t="s">
        <v>9</v>
      </c>
      <c r="B935" t="str">
        <f t="shared" si="57"/>
        <v>R0416</v>
      </c>
      <c r="C935" t="str">
        <f t="shared" si="56"/>
        <v>R</v>
      </c>
      <c r="D935" t="s">
        <v>5</v>
      </c>
      <c r="E935">
        <v>16</v>
      </c>
      <c r="F935" s="2" t="s">
        <v>2734</v>
      </c>
      <c r="G935" s="2" t="s">
        <v>2735</v>
      </c>
      <c r="H935" s="2" t="s">
        <v>2736</v>
      </c>
      <c r="I935" s="2" t="str">
        <f t="shared" si="58"/>
        <v>0.657</v>
      </c>
      <c r="J935" s="2" t="str">
        <f t="shared" si="59"/>
        <v>32.680</v>
      </c>
      <c r="K935" s="2" t="str">
        <f t="shared" si="59"/>
        <v>0.3566</v>
      </c>
      <c r="L935" s="3">
        <v>5.45</v>
      </c>
      <c r="M935">
        <f>((6.71-L935)/6.71)*100</f>
        <v>18.777943368107302</v>
      </c>
    </row>
    <row r="936" spans="1:13" x14ac:dyDescent="0.35">
      <c r="A936" s="1" t="s">
        <v>10</v>
      </c>
      <c r="B936" t="str">
        <f t="shared" si="57"/>
        <v>R0516</v>
      </c>
      <c r="C936" t="str">
        <f t="shared" si="56"/>
        <v>R</v>
      </c>
      <c r="D936" t="s">
        <v>5</v>
      </c>
      <c r="E936">
        <v>16</v>
      </c>
      <c r="F936" s="2" t="s">
        <v>2737</v>
      </c>
      <c r="G936" s="2" t="s">
        <v>2738</v>
      </c>
      <c r="H936" s="2" t="s">
        <v>2739</v>
      </c>
      <c r="I936" s="2" t="str">
        <f t="shared" si="58"/>
        <v>0.515</v>
      </c>
      <c r="J936" s="2" t="str">
        <f t="shared" si="59"/>
        <v>33.255</v>
      </c>
      <c r="K936" s="2" t="str">
        <f t="shared" si="59"/>
        <v>0.2755</v>
      </c>
      <c r="L936" s="3">
        <v>6.16</v>
      </c>
      <c r="M936">
        <f>((7.58-L936)/7.58)*100</f>
        <v>18.733509234828492</v>
      </c>
    </row>
    <row r="937" spans="1:13" x14ac:dyDescent="0.35">
      <c r="A937" s="1" t="s">
        <v>11</v>
      </c>
      <c r="B937" t="str">
        <f t="shared" si="57"/>
        <v>R0616</v>
      </c>
      <c r="C937" t="str">
        <f t="shared" si="56"/>
        <v>R</v>
      </c>
      <c r="D937" t="s">
        <v>5</v>
      </c>
      <c r="E937">
        <v>16</v>
      </c>
      <c r="F937" s="2" t="s">
        <v>2743</v>
      </c>
      <c r="G937" s="2" t="s">
        <v>2744</v>
      </c>
      <c r="H937" s="2" t="s">
        <v>2745</v>
      </c>
      <c r="I937" s="2" t="str">
        <f t="shared" si="58"/>
        <v>0.471</v>
      </c>
      <c r="J937" s="2" t="str">
        <f t="shared" si="59"/>
        <v>33.430</v>
      </c>
      <c r="K937" s="2" t="str">
        <f t="shared" si="59"/>
        <v>0.2495</v>
      </c>
      <c r="L937" s="3">
        <v>7.02</v>
      </c>
      <c r="M937">
        <f>((8.47-L937)/8.47)*100</f>
        <v>17.119244391971673</v>
      </c>
    </row>
    <row r="938" spans="1:13" x14ac:dyDescent="0.35">
      <c r="A938" s="1" t="s">
        <v>12</v>
      </c>
      <c r="B938" t="str">
        <f t="shared" si="57"/>
        <v>R0716</v>
      </c>
      <c r="C938" t="str">
        <f t="shared" si="56"/>
        <v>R</v>
      </c>
      <c r="D938" t="s">
        <v>5</v>
      </c>
      <c r="E938">
        <v>16</v>
      </c>
      <c r="F938" s="2" t="s">
        <v>2746</v>
      </c>
      <c r="G938" s="2" t="s">
        <v>2747</v>
      </c>
      <c r="H938" s="2" t="s">
        <v>2748</v>
      </c>
      <c r="I938" s="2" t="str">
        <f t="shared" si="58"/>
        <v>0.896</v>
      </c>
      <c r="J938" s="2" t="str">
        <f t="shared" si="59"/>
        <v>33.886</v>
      </c>
      <c r="K938" s="2" t="str">
        <f t="shared" si="59"/>
        <v>0.4674</v>
      </c>
      <c r="L938" s="3">
        <v>8.14</v>
      </c>
      <c r="M938">
        <f>((9.75-L938)/9.75)*100</f>
        <v>16.512820512820507</v>
      </c>
    </row>
    <row r="939" spans="1:13" x14ac:dyDescent="0.35">
      <c r="A939" s="1" t="s">
        <v>13</v>
      </c>
      <c r="B939" t="str">
        <f t="shared" si="57"/>
        <v>R0816</v>
      </c>
      <c r="C939" t="str">
        <f t="shared" si="56"/>
        <v>R</v>
      </c>
      <c r="D939" t="s">
        <v>5</v>
      </c>
      <c r="E939">
        <v>16</v>
      </c>
      <c r="F939" s="2" t="s">
        <v>2749</v>
      </c>
      <c r="G939" s="2" t="s">
        <v>2750</v>
      </c>
      <c r="H939" s="2" t="s">
        <v>2751</v>
      </c>
      <c r="I939" s="2" t="str">
        <f t="shared" si="58"/>
        <v>0.552</v>
      </c>
      <c r="J939" s="2" t="str">
        <f t="shared" si="59"/>
        <v>31.570</v>
      </c>
      <c r="K939" s="2" t="str">
        <f t="shared" si="59"/>
        <v>0.3115</v>
      </c>
      <c r="L939" s="3">
        <v>9.14</v>
      </c>
      <c r="M939">
        <f>((10.46-L939)/10.46)*100</f>
        <v>12.619502868068835</v>
      </c>
    </row>
    <row r="940" spans="1:13" x14ac:dyDescent="0.35">
      <c r="A940" s="1" t="s">
        <v>14</v>
      </c>
      <c r="B940" t="str">
        <f t="shared" si="57"/>
        <v>R0916</v>
      </c>
      <c r="C940" t="str">
        <f t="shared" si="56"/>
        <v>R</v>
      </c>
      <c r="D940" t="s">
        <v>5</v>
      </c>
      <c r="E940">
        <v>16</v>
      </c>
      <c r="F940" s="2" t="s">
        <v>2752</v>
      </c>
      <c r="G940" s="2" t="s">
        <v>2753</v>
      </c>
      <c r="H940" s="2" t="s">
        <v>2754</v>
      </c>
      <c r="I940" s="2" t="str">
        <f t="shared" si="58"/>
        <v>1.040</v>
      </c>
      <c r="J940" s="2" t="str">
        <f t="shared" si="59"/>
        <v>34.147</v>
      </c>
      <c r="K940" s="2" t="str">
        <f t="shared" si="59"/>
        <v>0.5404</v>
      </c>
      <c r="L940" s="3">
        <v>8.4</v>
      </c>
      <c r="M940">
        <f>((9.52-L940)/9.52)*100</f>
        <v>11.764705882352935</v>
      </c>
    </row>
    <row r="941" spans="1:13" x14ac:dyDescent="0.35">
      <c r="A941" s="1" t="s">
        <v>15</v>
      </c>
      <c r="B941" t="str">
        <f t="shared" si="57"/>
        <v>R1016</v>
      </c>
      <c r="C941" t="str">
        <f t="shared" si="56"/>
        <v>R</v>
      </c>
      <c r="D941" t="s">
        <v>5</v>
      </c>
      <c r="E941">
        <v>16</v>
      </c>
      <c r="F941" s="2" t="s">
        <v>2755</v>
      </c>
      <c r="G941" s="2" t="s">
        <v>2756</v>
      </c>
      <c r="H941" s="2" t="s">
        <v>2757</v>
      </c>
      <c r="I941" s="2" t="str">
        <f t="shared" si="58"/>
        <v>0.545</v>
      </c>
      <c r="J941" s="2" t="str">
        <f t="shared" si="59"/>
        <v>31.897</v>
      </c>
      <c r="K941" s="2" t="str">
        <f t="shared" si="59"/>
        <v>0.3021</v>
      </c>
      <c r="L941" s="3">
        <v>13.03</v>
      </c>
      <c r="M941">
        <f>((14.55-L941)/14.55)*100</f>
        <v>10.446735395189013</v>
      </c>
    </row>
    <row r="942" spans="1:13" x14ac:dyDescent="0.35">
      <c r="A942" s="1" t="s">
        <v>16</v>
      </c>
      <c r="B942" t="str">
        <f t="shared" si="57"/>
        <v>R1116</v>
      </c>
      <c r="C942" t="str">
        <f t="shared" si="56"/>
        <v>R</v>
      </c>
      <c r="D942" t="s">
        <v>5</v>
      </c>
      <c r="E942">
        <v>16</v>
      </c>
      <c r="F942" s="2" t="s">
        <v>2758</v>
      </c>
      <c r="G942" s="2" t="s">
        <v>2759</v>
      </c>
      <c r="H942" s="2" t="s">
        <v>2760</v>
      </c>
      <c r="I942" s="2" t="str">
        <f t="shared" si="58"/>
        <v>0.930</v>
      </c>
      <c r="J942" s="2" t="str">
        <f t="shared" si="59"/>
        <v>32.185</v>
      </c>
      <c r="K942" s="2" t="str">
        <f t="shared" si="59"/>
        <v>0.5124</v>
      </c>
      <c r="L942" s="3">
        <v>7.56</v>
      </c>
      <c r="M942">
        <f>((8.99-L942)/8.99)*100</f>
        <v>15.906562847608461</v>
      </c>
    </row>
    <row r="943" spans="1:13" x14ac:dyDescent="0.35">
      <c r="A943" s="1" t="s">
        <v>17</v>
      </c>
      <c r="B943" t="str">
        <f t="shared" si="57"/>
        <v>R1216</v>
      </c>
      <c r="C943" t="str">
        <f t="shared" si="56"/>
        <v>R</v>
      </c>
      <c r="D943" t="s">
        <v>5</v>
      </c>
      <c r="E943">
        <v>16</v>
      </c>
      <c r="F943" s="2" t="s">
        <v>2761</v>
      </c>
      <c r="G943" s="2" t="s">
        <v>2762</v>
      </c>
      <c r="H943" s="2" t="s">
        <v>2763</v>
      </c>
      <c r="I943" s="2" t="str">
        <f t="shared" si="58"/>
        <v>0.766</v>
      </c>
      <c r="J943" s="2" t="str">
        <f t="shared" si="59"/>
        <v>31.971</v>
      </c>
      <c r="K943" s="2" t="str">
        <f t="shared" si="59"/>
        <v>0.4244</v>
      </c>
      <c r="L943" s="3">
        <v>8.11</v>
      </c>
      <c r="M943">
        <f>((9.52-L943)/9.52)*100</f>
        <v>14.810924369747902</v>
      </c>
    </row>
    <row r="944" spans="1:13" x14ac:dyDescent="0.35">
      <c r="A944" s="1" t="s">
        <v>18</v>
      </c>
      <c r="B944" t="str">
        <f t="shared" si="57"/>
        <v>R1316</v>
      </c>
      <c r="C944" t="str">
        <f t="shared" si="56"/>
        <v>R</v>
      </c>
      <c r="D944" t="s">
        <v>5</v>
      </c>
      <c r="E944">
        <v>16</v>
      </c>
      <c r="F944" s="2" t="s">
        <v>2764</v>
      </c>
      <c r="G944" s="2" t="s">
        <v>2765</v>
      </c>
      <c r="H944" s="2" t="s">
        <v>2766</v>
      </c>
      <c r="I944" s="2" t="str">
        <f t="shared" si="58"/>
        <v>0.500</v>
      </c>
      <c r="J944" s="2" t="str">
        <f t="shared" si="59"/>
        <v>33.548</v>
      </c>
      <c r="K944" s="2" t="str">
        <f t="shared" si="59"/>
        <v>0.2672</v>
      </c>
      <c r="L944" s="3">
        <v>8.17</v>
      </c>
      <c r="M944">
        <f>((10.58-L944)/10.58)*100</f>
        <v>22.778827977315689</v>
      </c>
    </row>
    <row r="945" spans="1:13" x14ac:dyDescent="0.35">
      <c r="A945" s="1" t="s">
        <v>19</v>
      </c>
      <c r="B945" t="str">
        <f t="shared" si="57"/>
        <v>R1416</v>
      </c>
      <c r="C945" t="str">
        <f t="shared" si="56"/>
        <v>R</v>
      </c>
      <c r="D945" t="s">
        <v>5</v>
      </c>
      <c r="E945">
        <v>16</v>
      </c>
      <c r="F945" s="2" t="s">
        <v>2767</v>
      </c>
      <c r="G945" s="2" t="s">
        <v>2768</v>
      </c>
      <c r="H945" s="2" t="s">
        <v>2769</v>
      </c>
      <c r="I945" s="2" t="str">
        <f t="shared" si="58"/>
        <v>0.565</v>
      </c>
      <c r="J945" s="2" t="str">
        <f t="shared" si="59"/>
        <v>33.600</v>
      </c>
      <c r="K945" s="2" t="str">
        <f t="shared" si="59"/>
        <v>0.2992</v>
      </c>
      <c r="L945" s="3">
        <v>9.75</v>
      </c>
      <c r="M945">
        <f>((11.2-L945)/11.2)*100</f>
        <v>12.946428571428568</v>
      </c>
    </row>
    <row r="946" spans="1:13" x14ac:dyDescent="0.35">
      <c r="A946" s="1" t="s">
        <v>20</v>
      </c>
      <c r="B946" t="str">
        <f t="shared" si="57"/>
        <v>R1516</v>
      </c>
      <c r="C946" t="str">
        <f t="shared" si="56"/>
        <v>R</v>
      </c>
      <c r="D946" t="s">
        <v>5</v>
      </c>
      <c r="E946">
        <v>16</v>
      </c>
      <c r="F946" s="2" t="s">
        <v>2770</v>
      </c>
      <c r="G946" s="2" t="s">
        <v>2771</v>
      </c>
      <c r="H946" s="2" t="s">
        <v>2772</v>
      </c>
      <c r="I946" s="2" t="str">
        <f t="shared" si="58"/>
        <v>0.559</v>
      </c>
      <c r="J946" s="2" t="str">
        <f t="shared" si="59"/>
        <v>26.689</v>
      </c>
      <c r="K946" s="2" t="str">
        <f t="shared" si="59"/>
        <v>0.3711</v>
      </c>
      <c r="L946" s="3">
        <v>8.4</v>
      </c>
      <c r="M946">
        <f>((10.33-L946)/10.33)*100</f>
        <v>18.683446272991286</v>
      </c>
    </row>
    <row r="947" spans="1:13" x14ac:dyDescent="0.35">
      <c r="A947" s="1" t="s">
        <v>22</v>
      </c>
      <c r="B947" t="str">
        <f t="shared" si="57"/>
        <v>R1616</v>
      </c>
      <c r="C947" t="str">
        <f t="shared" si="56"/>
        <v>R</v>
      </c>
      <c r="D947" t="s">
        <v>5</v>
      </c>
      <c r="E947">
        <v>16</v>
      </c>
      <c r="F947" s="2" t="s">
        <v>2773</v>
      </c>
      <c r="G947" s="2" t="s">
        <v>2774</v>
      </c>
      <c r="H947" s="2" t="s">
        <v>2775</v>
      </c>
      <c r="I947" s="2" t="str">
        <f t="shared" si="58"/>
        <v>0.949</v>
      </c>
      <c r="J947" s="2" t="str">
        <f t="shared" si="59"/>
        <v>32.249</v>
      </c>
      <c r="K947" s="2" t="str">
        <f t="shared" si="59"/>
        <v>0.5213</v>
      </c>
      <c r="L947" s="3">
        <v>7.15</v>
      </c>
      <c r="M947">
        <f>((8.36-L947)/8.36)*100</f>
        <v>14.473684210526304</v>
      </c>
    </row>
    <row r="948" spans="1:13" x14ac:dyDescent="0.35">
      <c r="A948" s="1" t="s">
        <v>23</v>
      </c>
      <c r="B948" t="str">
        <f t="shared" si="57"/>
        <v>R1716</v>
      </c>
      <c r="C948" t="str">
        <f t="shared" si="56"/>
        <v>R</v>
      </c>
      <c r="D948" t="s">
        <v>5</v>
      </c>
      <c r="E948">
        <v>16</v>
      </c>
      <c r="F948" s="2" t="s">
        <v>2776</v>
      </c>
      <c r="G948" s="2" t="s">
        <v>2777</v>
      </c>
      <c r="H948" s="2" t="s">
        <v>2778</v>
      </c>
      <c r="I948" s="2" t="str">
        <f t="shared" si="58"/>
        <v>0.517</v>
      </c>
      <c r="J948" s="2" t="str">
        <f t="shared" si="59"/>
        <v>30.902</v>
      </c>
      <c r="K948" s="2" t="str">
        <f t="shared" si="59"/>
        <v>0.3134</v>
      </c>
      <c r="L948" s="3">
        <v>9.33</v>
      </c>
      <c r="M948">
        <f>((10.97-L948)/10.97)*100</f>
        <v>14.949863263445765</v>
      </c>
    </row>
    <row r="949" spans="1:13" x14ac:dyDescent="0.35">
      <c r="A949" s="1" t="s">
        <v>24</v>
      </c>
      <c r="B949" t="str">
        <f t="shared" si="57"/>
        <v>R1816</v>
      </c>
      <c r="C949" t="str">
        <f t="shared" si="56"/>
        <v>R</v>
      </c>
      <c r="D949" t="s">
        <v>5</v>
      </c>
      <c r="E949">
        <v>16</v>
      </c>
      <c r="F949" s="2" t="s">
        <v>2779</v>
      </c>
      <c r="G949" s="2" t="s">
        <v>2780</v>
      </c>
      <c r="H949" s="2" t="s">
        <v>2781</v>
      </c>
      <c r="I949" s="2" t="str">
        <f t="shared" si="58"/>
        <v>0.909</v>
      </c>
      <c r="J949" s="2" t="str">
        <f t="shared" si="59"/>
        <v>30.938</v>
      </c>
      <c r="K949" s="2" t="str">
        <f t="shared" si="59"/>
        <v>0.5191</v>
      </c>
      <c r="L949" s="3">
        <v>6.75</v>
      </c>
      <c r="M949">
        <f>((8.03-L949)/8.03)*100</f>
        <v>15.940224159402236</v>
      </c>
    </row>
    <row r="950" spans="1:13" x14ac:dyDescent="0.35">
      <c r="A950" s="1" t="s">
        <v>25</v>
      </c>
      <c r="B950" t="str">
        <f t="shared" si="57"/>
        <v>R1916</v>
      </c>
      <c r="C950" t="str">
        <f t="shared" si="56"/>
        <v>R</v>
      </c>
      <c r="D950" t="s">
        <v>5</v>
      </c>
      <c r="E950">
        <v>16</v>
      </c>
      <c r="F950" s="2" t="s">
        <v>2782</v>
      </c>
      <c r="G950" s="2" t="s">
        <v>2783</v>
      </c>
      <c r="H950" s="2" t="s">
        <v>2784</v>
      </c>
      <c r="I950" s="2" t="str">
        <f t="shared" si="58"/>
        <v>1.138</v>
      </c>
      <c r="J950" s="2" t="str">
        <f t="shared" si="59"/>
        <v>28.198</v>
      </c>
      <c r="K950" s="2" t="str">
        <f t="shared" si="59"/>
        <v>0.7191</v>
      </c>
      <c r="L950" s="3">
        <v>7.49</v>
      </c>
      <c r="M950">
        <f>((8.97-L950)/8.97)*100</f>
        <v>16.499442586399113</v>
      </c>
    </row>
    <row r="951" spans="1:13" x14ac:dyDescent="0.35">
      <c r="A951" s="1" t="s">
        <v>26</v>
      </c>
      <c r="B951" t="str">
        <f t="shared" si="57"/>
        <v>R2016</v>
      </c>
      <c r="C951" t="str">
        <f t="shared" si="56"/>
        <v>R</v>
      </c>
      <c r="D951" t="s">
        <v>5</v>
      </c>
      <c r="E951">
        <v>16</v>
      </c>
      <c r="F951" s="2" t="s">
        <v>2785</v>
      </c>
      <c r="G951" s="2" t="s">
        <v>2786</v>
      </c>
      <c r="H951" s="2" t="s">
        <v>2787</v>
      </c>
      <c r="I951" s="2" t="str">
        <f t="shared" si="58"/>
        <v>1.088</v>
      </c>
      <c r="J951" s="2" t="str">
        <f t="shared" si="59"/>
        <v>31.721</v>
      </c>
      <c r="K951" s="2" t="str">
        <f t="shared" si="59"/>
        <v>0.6071</v>
      </c>
      <c r="L951" s="3">
        <v>8.02</v>
      </c>
      <c r="M951">
        <f>((9.17-L951)/9.17)*100</f>
        <v>12.540894220283539</v>
      </c>
    </row>
    <row r="952" spans="1:13" x14ac:dyDescent="0.35">
      <c r="A952" s="1" t="s">
        <v>27</v>
      </c>
      <c r="B952" t="str">
        <f t="shared" si="57"/>
        <v>R2116</v>
      </c>
      <c r="C952" t="str">
        <f t="shared" si="56"/>
        <v>R</v>
      </c>
      <c r="D952" t="s">
        <v>5</v>
      </c>
      <c r="E952">
        <v>16</v>
      </c>
      <c r="F952" s="2" t="s">
        <v>2788</v>
      </c>
      <c r="G952" s="2" t="s">
        <v>2789</v>
      </c>
      <c r="H952" s="2" t="s">
        <v>2790</v>
      </c>
      <c r="I952" s="2" t="str">
        <f t="shared" si="58"/>
        <v>0.709</v>
      </c>
      <c r="J952" s="2" t="str">
        <f t="shared" si="59"/>
        <v>34.824</v>
      </c>
      <c r="K952" s="2" t="str">
        <f t="shared" si="59"/>
        <v>0.3602</v>
      </c>
      <c r="L952" s="3">
        <v>9.5</v>
      </c>
      <c r="M952">
        <f>((11.02-L952)/11.02)*100</f>
        <v>13.793103448275859</v>
      </c>
    </row>
    <row r="953" spans="1:13" x14ac:dyDescent="0.35">
      <c r="A953" s="1" t="s">
        <v>28</v>
      </c>
      <c r="B953" t="str">
        <f t="shared" si="57"/>
        <v>R2216</v>
      </c>
      <c r="C953" t="str">
        <f t="shared" si="56"/>
        <v>R</v>
      </c>
      <c r="D953" t="s">
        <v>5</v>
      </c>
      <c r="E953">
        <v>16</v>
      </c>
      <c r="F953" s="2" t="s">
        <v>2791</v>
      </c>
      <c r="G953" s="2" t="s">
        <v>2792</v>
      </c>
      <c r="H953" s="2" t="s">
        <v>2793</v>
      </c>
      <c r="I953" s="2" t="str">
        <f t="shared" si="58"/>
        <v>0.781</v>
      </c>
      <c r="J953" s="2" t="str">
        <f t="shared" si="59"/>
        <v>33.794</v>
      </c>
      <c r="K953" s="2" t="str">
        <f t="shared" si="59"/>
        <v>0.4093</v>
      </c>
      <c r="L953" s="3">
        <v>9.8699999999999992</v>
      </c>
      <c r="M953">
        <f>((11.2-L953)/11.2)*100</f>
        <v>11.875</v>
      </c>
    </row>
    <row r="954" spans="1:13" x14ac:dyDescent="0.35">
      <c r="A954" s="1" t="s">
        <v>29</v>
      </c>
      <c r="B954" t="str">
        <f t="shared" si="57"/>
        <v>R2316</v>
      </c>
      <c r="C954" t="str">
        <f t="shared" si="56"/>
        <v>R</v>
      </c>
      <c r="D954" t="s">
        <v>5</v>
      </c>
      <c r="E954">
        <v>16</v>
      </c>
      <c r="F954" s="2" t="s">
        <v>2794</v>
      </c>
      <c r="G954" s="2" t="s">
        <v>2795</v>
      </c>
      <c r="H954" s="2" t="s">
        <v>2796</v>
      </c>
      <c r="I954" s="2" t="str">
        <f t="shared" si="58"/>
        <v>0.564</v>
      </c>
      <c r="J954" s="2" t="str">
        <f t="shared" si="59"/>
        <v>32.626</v>
      </c>
      <c r="K954" s="2" t="str">
        <f t="shared" si="59"/>
        <v>0.3100</v>
      </c>
      <c r="L954" s="3">
        <v>9.16</v>
      </c>
      <c r="M954">
        <f>((10.41-L954)/10.41)*100</f>
        <v>12.007684918347742</v>
      </c>
    </row>
    <row r="955" spans="1:13" x14ac:dyDescent="0.35">
      <c r="A955" s="1" t="s">
        <v>30</v>
      </c>
      <c r="B955" t="str">
        <f t="shared" si="57"/>
        <v>R2416</v>
      </c>
      <c r="C955" t="str">
        <f t="shared" ref="C955:C961" si="60">LEFT(D955,1)</f>
        <v>R</v>
      </c>
      <c r="D955" t="s">
        <v>5</v>
      </c>
      <c r="E955">
        <v>16</v>
      </c>
      <c r="F955" s="2" t="s">
        <v>2797</v>
      </c>
      <c r="G955" s="2" t="s">
        <v>2798</v>
      </c>
      <c r="H955" s="2" t="s">
        <v>2799</v>
      </c>
      <c r="I955" s="2" t="str">
        <f t="shared" si="58"/>
        <v>1.118</v>
      </c>
      <c r="J955" s="2" t="str">
        <f t="shared" si="59"/>
        <v>33.237</v>
      </c>
      <c r="K955" s="2" t="str">
        <f t="shared" si="59"/>
        <v>0.5956</v>
      </c>
      <c r="L955" s="3">
        <v>10.3</v>
      </c>
      <c r="M955">
        <f>((11.96-L955)/11.96)*100</f>
        <v>13.879598662207357</v>
      </c>
    </row>
    <row r="956" spans="1:13" x14ac:dyDescent="0.35">
      <c r="A956" s="1" t="s">
        <v>31</v>
      </c>
      <c r="B956" t="str">
        <f t="shared" si="57"/>
        <v>R2516</v>
      </c>
      <c r="C956" t="str">
        <f t="shared" si="60"/>
        <v>R</v>
      </c>
      <c r="D956" t="s">
        <v>5</v>
      </c>
      <c r="E956">
        <v>16</v>
      </c>
      <c r="F956" s="2" t="s">
        <v>2800</v>
      </c>
      <c r="G956" s="2" t="s">
        <v>2801</v>
      </c>
      <c r="H956" s="2" t="s">
        <v>2802</v>
      </c>
      <c r="I956" s="2" t="str">
        <f t="shared" si="58"/>
        <v>0.595</v>
      </c>
      <c r="J956" s="2" t="str">
        <f t="shared" si="59"/>
        <v>30.162</v>
      </c>
      <c r="K956" s="2" t="str">
        <f t="shared" si="59"/>
        <v>0.3499</v>
      </c>
      <c r="L956" s="3">
        <v>9.99</v>
      </c>
      <c r="M956">
        <f>((11.77-L956)/11.77)*100</f>
        <v>15.123194562446892</v>
      </c>
    </row>
    <row r="957" spans="1:13" x14ac:dyDescent="0.35">
      <c r="A957" s="1" t="s">
        <v>32</v>
      </c>
      <c r="B957" t="str">
        <f t="shared" si="57"/>
        <v>R2616</v>
      </c>
      <c r="C957" t="str">
        <f t="shared" si="60"/>
        <v>R</v>
      </c>
      <c r="D957" t="s">
        <v>5</v>
      </c>
      <c r="E957">
        <v>16</v>
      </c>
      <c r="F957" s="2" t="s">
        <v>2803</v>
      </c>
      <c r="G957" s="2" t="s">
        <v>2804</v>
      </c>
      <c r="H957" s="2" t="s">
        <v>2805</v>
      </c>
      <c r="I957" s="2" t="str">
        <f t="shared" si="58"/>
        <v>0.786</v>
      </c>
      <c r="J957" s="2" t="str">
        <f t="shared" si="59"/>
        <v>31.681</v>
      </c>
      <c r="K957" s="2" t="str">
        <f t="shared" si="59"/>
        <v>0.4395</v>
      </c>
      <c r="L957" s="3">
        <v>11.13</v>
      </c>
      <c r="M957">
        <f>((12.72-L957)/12.72)*100</f>
        <v>12.499999999999998</v>
      </c>
    </row>
    <row r="958" spans="1:13" x14ac:dyDescent="0.35">
      <c r="A958" s="1" t="s">
        <v>33</v>
      </c>
      <c r="B958" t="str">
        <f t="shared" si="57"/>
        <v>R2716</v>
      </c>
      <c r="C958" t="str">
        <f t="shared" si="60"/>
        <v>R</v>
      </c>
      <c r="D958" t="s">
        <v>5</v>
      </c>
      <c r="E958">
        <v>16</v>
      </c>
      <c r="F958" s="2" t="s">
        <v>2806</v>
      </c>
      <c r="G958" s="2" t="s">
        <v>2807</v>
      </c>
      <c r="H958" s="2" t="s">
        <v>2808</v>
      </c>
      <c r="I958" s="2" t="str">
        <f t="shared" si="58"/>
        <v>1.018</v>
      </c>
      <c r="J958" s="2" t="str">
        <f t="shared" si="59"/>
        <v>28.228</v>
      </c>
      <c r="K958" s="2" t="str">
        <f t="shared" si="59"/>
        <v>0.6390</v>
      </c>
      <c r="L958" s="3">
        <v>11.34</v>
      </c>
      <c r="M958">
        <f>((13.02-L958)/13.02)*100</f>
        <v>12.90322580645161</v>
      </c>
    </row>
    <row r="959" spans="1:13" x14ac:dyDescent="0.35">
      <c r="A959" s="1" t="s">
        <v>34</v>
      </c>
      <c r="B959" t="str">
        <f t="shared" si="57"/>
        <v>R2816</v>
      </c>
      <c r="C959" t="str">
        <f t="shared" si="60"/>
        <v>R</v>
      </c>
      <c r="D959" t="s">
        <v>5</v>
      </c>
      <c r="E959">
        <v>16</v>
      </c>
      <c r="F959" s="2" t="s">
        <v>2809</v>
      </c>
      <c r="G959" s="2" t="s">
        <v>2810</v>
      </c>
      <c r="H959" s="2" t="s">
        <v>2811</v>
      </c>
      <c r="I959" s="2" t="str">
        <f t="shared" si="58"/>
        <v>0.474</v>
      </c>
      <c r="J959" s="2" t="str">
        <f t="shared" si="59"/>
        <v>33.408</v>
      </c>
      <c r="K959" s="2" t="str">
        <f t="shared" si="59"/>
        <v>0.2522</v>
      </c>
      <c r="L959" s="3">
        <v>8.74</v>
      </c>
      <c r="M959">
        <f>((10.13-L959)/10.13)*100</f>
        <v>13.721618953603162</v>
      </c>
    </row>
    <row r="960" spans="1:13" x14ac:dyDescent="0.35">
      <c r="A960" s="1" t="s">
        <v>35</v>
      </c>
      <c r="B960" t="str">
        <f t="shared" si="57"/>
        <v>R2916</v>
      </c>
      <c r="C960" t="str">
        <f t="shared" si="60"/>
        <v>R</v>
      </c>
      <c r="D960" t="s">
        <v>5</v>
      </c>
      <c r="E960">
        <v>16</v>
      </c>
      <c r="F960" s="2" t="s">
        <v>2812</v>
      </c>
      <c r="G960" s="2" t="s">
        <v>2813</v>
      </c>
      <c r="H960" s="2" t="s">
        <v>2814</v>
      </c>
      <c r="I960" s="2" t="str">
        <f t="shared" si="58"/>
        <v>0.744</v>
      </c>
      <c r="J960" s="2" t="str">
        <f t="shared" si="59"/>
        <v>30.963</v>
      </c>
      <c r="K960" s="2" t="str">
        <f t="shared" si="59"/>
        <v>0.4248</v>
      </c>
      <c r="L960" s="3">
        <v>6.59</v>
      </c>
      <c r="M960">
        <f>((8.49-L960)/8.49)*100</f>
        <v>22.379269729093053</v>
      </c>
    </row>
    <row r="961" spans="1:13" x14ac:dyDescent="0.35">
      <c r="A961" s="1" t="s">
        <v>36</v>
      </c>
      <c r="B961" t="str">
        <f t="shared" si="57"/>
        <v>R3016</v>
      </c>
      <c r="C961" t="str">
        <f t="shared" si="60"/>
        <v>R</v>
      </c>
      <c r="D961" t="s">
        <v>5</v>
      </c>
      <c r="E961">
        <v>16</v>
      </c>
      <c r="F961" s="2" t="s">
        <v>2815</v>
      </c>
      <c r="G961" s="2" t="s">
        <v>2816</v>
      </c>
      <c r="H961" s="2" t="s">
        <v>2817</v>
      </c>
      <c r="I961" s="2" t="str">
        <f t="shared" si="58"/>
        <v>0.968</v>
      </c>
      <c r="J961" s="2" t="str">
        <f t="shared" si="59"/>
        <v>31.105</v>
      </c>
      <c r="K961" s="2" t="str">
        <f t="shared" si="59"/>
        <v>0.5509</v>
      </c>
      <c r="L961" s="3">
        <v>6.15</v>
      </c>
      <c r="M961">
        <f>((7.78-L961)/7.78)*100</f>
        <v>20.951156812339331</v>
      </c>
    </row>
  </sheetData>
  <autoFilter ref="A1:M961" xr:uid="{00000000-0001-0000-0000-000000000000}"/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truonggiaman.2004@gmail.com</cp:lastModifiedBy>
  <dcterms:created xsi:type="dcterms:W3CDTF">2026-02-19T09:54:19Z</dcterms:created>
  <dcterms:modified xsi:type="dcterms:W3CDTF">2026-04-25T04:52:01Z</dcterms:modified>
</cp:coreProperties>
</file>